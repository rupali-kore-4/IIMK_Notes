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11_C102209F3EAD9C4FE4BE97BC2B8CE612B8E13D9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 Me" sheetId="1" r:id="rId1"/>
    <sheet name="PS1-P1" sheetId="2" r:id="rId2"/>
    <sheet name="PS1-P2" sheetId="3" r:id="rId3"/>
    <sheet name="PS1-P3" sheetId="4" r:id="rId4"/>
    <sheet name="PS1-P4" sheetId="5" r:id="rId5"/>
    <sheet name="PS2-P1" sheetId="6" r:id="rId6"/>
    <sheet name="PS2-P2-P3" sheetId="7" r:id="rId7"/>
    <sheet name="PS2-P4" sheetId="8" r:id="rId8"/>
    <sheet name="PlayCraft" sheetId="9" r:id="rId9"/>
    <sheet name="Cost Flow" sheetId="10" r:id="rId10"/>
    <sheet name="PS3-P1" sheetId="11" r:id="rId11"/>
    <sheet name="PS3-P2" sheetId="12" r:id="rId12"/>
    <sheet name="PS3-P3" sheetId="13" r:id="rId13"/>
    <sheet name="PS3-P4" sheetId="14" r:id="rId14"/>
  </sheets>
  <calcPr calcId="0" fullCalcOnLoad="1" forceFullCalc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4" l="1"/>
  <c r="E18" i="14"/>
  <c r="B18" i="14"/>
  <c r="E17" i="14"/>
  <c r="B17" i="14"/>
  <c r="E16" i="14"/>
  <c r="B16" i="14"/>
  <c r="B12" i="14"/>
  <c r="B11" i="14"/>
  <c r="B30" i="13"/>
  <c r="B29" i="13"/>
  <c r="B28" i="13"/>
  <c r="B25" i="13"/>
  <c r="A25" i="13"/>
  <c r="B22" i="13"/>
  <c r="C19" i="13"/>
  <c r="B19" i="13"/>
  <c r="A19" i="13"/>
  <c r="B16" i="13"/>
  <c r="D13" i="13"/>
  <c r="C13" i="13"/>
  <c r="B13" i="13"/>
  <c r="A13" i="13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F7" i="12"/>
  <c r="F6" i="12"/>
  <c r="F5" i="12"/>
  <c r="F34" i="11"/>
  <c r="E34" i="11"/>
  <c r="D34" i="11"/>
  <c r="C34" i="11"/>
  <c r="B34" i="11"/>
  <c r="F33" i="11"/>
  <c r="E33" i="11"/>
  <c r="D33" i="11"/>
  <c r="C33" i="11"/>
  <c r="B33" i="11"/>
  <c r="F32" i="11"/>
  <c r="E32" i="11"/>
  <c r="D32" i="11"/>
  <c r="C32" i="11"/>
  <c r="B32" i="11"/>
  <c r="F31" i="11"/>
  <c r="E31" i="11"/>
  <c r="D31" i="11"/>
  <c r="C31" i="11"/>
  <c r="B31" i="11"/>
  <c r="F30" i="11"/>
  <c r="E30" i="11"/>
  <c r="D30" i="11"/>
  <c r="C30" i="11"/>
  <c r="B30" i="11"/>
  <c r="F29" i="11"/>
  <c r="E29" i="11"/>
  <c r="D29" i="11"/>
  <c r="C29" i="11"/>
  <c r="B29" i="11"/>
  <c r="F28" i="11"/>
  <c r="E28" i="11"/>
  <c r="D28" i="11"/>
  <c r="C28" i="11"/>
  <c r="B28" i="11"/>
  <c r="F27" i="11"/>
  <c r="E27" i="11"/>
  <c r="D27" i="11"/>
  <c r="C27" i="11"/>
  <c r="B27" i="11"/>
  <c r="F26" i="11"/>
  <c r="E26" i="11"/>
  <c r="D26" i="11"/>
  <c r="C26" i="11"/>
  <c r="B26" i="11"/>
  <c r="F22" i="11"/>
  <c r="F21" i="11"/>
  <c r="F20" i="11"/>
  <c r="F19" i="11"/>
  <c r="F18" i="11"/>
  <c r="F17" i="11"/>
  <c r="F16" i="11"/>
  <c r="B17" i="10"/>
  <c r="B16" i="10"/>
  <c r="B15" i="10"/>
  <c r="B14" i="10"/>
  <c r="B13" i="10"/>
  <c r="B12" i="10"/>
  <c r="B31" i="9"/>
  <c r="B30" i="9"/>
  <c r="B29" i="9"/>
  <c r="B28" i="9"/>
  <c r="B27" i="9"/>
  <c r="B26" i="9"/>
  <c r="B25" i="9"/>
  <c r="B24" i="9"/>
  <c r="B21" i="8"/>
  <c r="B20" i="8"/>
  <c r="B19" i="8"/>
  <c r="B18" i="8"/>
  <c r="B17" i="8"/>
  <c r="B16" i="8"/>
  <c r="B39" i="7"/>
  <c r="B38" i="7"/>
  <c r="B37" i="7"/>
  <c r="B36" i="7"/>
  <c r="B35" i="7"/>
  <c r="B34" i="7"/>
  <c r="B31" i="7"/>
  <c r="B30" i="7"/>
  <c r="B29" i="7"/>
  <c r="B28" i="7"/>
  <c r="B27" i="7"/>
  <c r="B26" i="7"/>
  <c r="B25" i="7"/>
  <c r="B24" i="7"/>
  <c r="B23" i="7"/>
  <c r="B22" i="7"/>
  <c r="B23" i="6"/>
  <c r="B22" i="6"/>
  <c r="B21" i="6"/>
  <c r="B20" i="6"/>
  <c r="B19" i="6"/>
  <c r="B18" i="6"/>
  <c r="B17" i="6"/>
  <c r="B16" i="6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29" i="4"/>
  <c r="B28" i="4"/>
  <c r="B27" i="4"/>
  <c r="B26" i="4"/>
  <c r="B25" i="4"/>
  <c r="B24" i="4"/>
  <c r="B23" i="4"/>
  <c r="B22" i="4"/>
  <c r="B21" i="4"/>
  <c r="B20" i="4"/>
  <c r="B19" i="4"/>
  <c r="B24" i="3"/>
  <c r="B23" i="3"/>
  <c r="B22" i="3"/>
  <c r="B21" i="3"/>
  <c r="B20" i="3"/>
  <c r="B19" i="3"/>
  <c r="B18" i="3"/>
  <c r="B17" i="3"/>
  <c r="B16" i="3"/>
  <c r="B15" i="3"/>
  <c r="B14" i="3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</calcChain>
</file>

<file path=xl/sharedStrings.xml><?xml version="1.0" encoding="utf-8"?>
<sst xmlns="http://schemas.openxmlformats.org/spreadsheetml/2006/main" count="412" uniqueCount="300">
  <si>
    <t>CMA Excel-Based Solutions</t>
  </si>
  <si>
    <t>Blue text = input. Black text = formula. Green text = linked value. Change blue inputs to practise; formulas update automatically in Excel.</t>
  </si>
  <si>
    <t>Sheet</t>
  </si>
  <si>
    <t>Coverage</t>
  </si>
  <si>
    <t>PS1-P1</t>
  </si>
  <si>
    <t>Cost sheet and profit/loss</t>
  </si>
  <si>
    <t>PS1-P2</t>
  </si>
  <si>
    <t>Estimate and quotation</t>
  </si>
  <si>
    <t>PS1-P3</t>
  </si>
  <si>
    <t>Cost sheet with inventory adjustments</t>
  </si>
  <si>
    <t>PS1-P4</t>
  </si>
  <si>
    <t>Cost per unit and profit</t>
  </si>
  <si>
    <t>PS2-P1</t>
  </si>
  <si>
    <t>Missing inventory balances</t>
  </si>
  <si>
    <t>PS2-P2-P3</t>
  </si>
  <si>
    <t>Unit cost, operating income, alternative inventory treatment</t>
  </si>
  <si>
    <t>PS2-P4</t>
  </si>
  <si>
    <t>Inventory and manufacturing-cost reconstruction</t>
  </si>
  <si>
    <t>PlayCraft</t>
  </si>
  <si>
    <t>T-accounts and GAAP income statement</t>
  </si>
  <si>
    <t>Cost Flow</t>
  </si>
  <si>
    <t>RM-WIP-FG-COGS flow</t>
  </si>
  <si>
    <t>PS3-P1</t>
  </si>
  <si>
    <t>Primary distribution</t>
  </si>
  <si>
    <t>PS3-P2</t>
  </si>
  <si>
    <t>Direct redistribution</t>
  </si>
  <si>
    <t>PS3-P3</t>
  </si>
  <si>
    <t>Step-down method</t>
  </si>
  <si>
    <t>PS3-P4</t>
  </si>
  <si>
    <t>Reciprocal method</t>
  </si>
  <si>
    <t>Problem Set 1 - Problem 1</t>
  </si>
  <si>
    <t>Professor method: DM -&gt; Prime Cost -&gt; Factory OH -&gt; Works Cost -&gt; Admin OH -&gt; Cost of Production -&gt; FG adjustment -&gt; Selling OH -&gt; Cost of Sales.</t>
  </si>
  <si>
    <t>Inputs</t>
  </si>
  <si>
    <t>Input</t>
  </si>
  <si>
    <t>Amount (Rs.)</t>
  </si>
  <si>
    <t>Opening RM</t>
  </si>
  <si>
    <t>Opening WIP</t>
  </si>
  <si>
    <t>Opening FG</t>
  </si>
  <si>
    <t>Gross purchases</t>
  </si>
  <si>
    <t>Purchase returns</t>
  </si>
  <si>
    <t>Freight</t>
  </si>
  <si>
    <t>Closing RM</t>
  </si>
  <si>
    <t>Direct labour paid</t>
  </si>
  <si>
    <t>Accrued direct labour</t>
  </si>
  <si>
    <t>Direct expense</t>
  </si>
  <si>
    <t>Indirect labour paid</t>
  </si>
  <si>
    <t>Accrued indirect labour</t>
  </si>
  <si>
    <t>Factory supervision</t>
  </si>
  <si>
    <t>Repairs</t>
  </si>
  <si>
    <t>Heat/light/power</t>
  </si>
  <si>
    <t>Rates/taxes</t>
  </si>
  <si>
    <t>Factory misc.</t>
  </si>
  <si>
    <t>Plant value</t>
  </si>
  <si>
    <t>Building value</t>
  </si>
  <si>
    <t>Office appliances</t>
  </si>
  <si>
    <t>Closing WIP</t>
  </si>
  <si>
    <t>Closing FG</t>
  </si>
  <si>
    <t>Office salaries</t>
  </si>
  <si>
    <t>Sales commission</t>
  </si>
  <si>
    <t>Sales travel</t>
  </si>
  <si>
    <t>Sales promotion</t>
  </si>
  <si>
    <t>Distribution salaries</t>
  </si>
  <si>
    <t>Gross sales</t>
  </si>
  <si>
    <t>Sales returns</t>
  </si>
  <si>
    <t>Cost Sheet</t>
  </si>
  <si>
    <t>Particulars</t>
  </si>
  <si>
    <t>Formula result (Rs.)</t>
  </si>
  <si>
    <t>Excel formula</t>
  </si>
  <si>
    <t>Net materials purchased</t>
  </si>
  <si>
    <t>Direct materials consumed</t>
  </si>
  <si>
    <t>Direct labour</t>
  </si>
  <si>
    <t>Prime cost</t>
  </si>
  <si>
    <t>Indirect labour</t>
  </si>
  <si>
    <t>Factory HLP</t>
  </si>
  <si>
    <t>Factory rates</t>
  </si>
  <si>
    <t>Plant depreciation</t>
  </si>
  <si>
    <t>Factory building depreciation</t>
  </si>
  <si>
    <t>Factory overhead</t>
  </si>
  <si>
    <t>Works cost before WIP</t>
  </si>
  <si>
    <t>Net works cost / COGM</t>
  </si>
  <si>
    <t>Admin HLP</t>
  </si>
  <si>
    <t>Admin rates</t>
  </si>
  <si>
    <t>Admin building depreciation</t>
  </si>
  <si>
    <t>Office appliance depreciation</t>
  </si>
  <si>
    <t>Administration overhead</t>
  </si>
  <si>
    <t>Cost of production</t>
  </si>
  <si>
    <t>COGS before selling OH</t>
  </si>
  <si>
    <t>Selling HLP</t>
  </si>
  <si>
    <t>Selling building depreciation</t>
  </si>
  <si>
    <t>Selling &amp; distribution OH</t>
  </si>
  <si>
    <t>Cost of sales</t>
  </si>
  <si>
    <t>Net sales</t>
  </si>
  <si>
    <t>Profit / (Loss)</t>
  </si>
  <si>
    <t>Problem Set 1 - Problem 2</t>
  </si>
  <si>
    <t>Estimate overhead rates from historical data, then apply them to the new machine.</t>
  </si>
  <si>
    <t>Historical inputs</t>
  </si>
  <si>
    <t>Materials</t>
  </si>
  <si>
    <t>Direct wages</t>
  </si>
  <si>
    <t>Works OH</t>
  </si>
  <si>
    <t>Establishment expense</t>
  </si>
  <si>
    <t>New machine materials</t>
  </si>
  <si>
    <t>New machine wages</t>
  </si>
  <si>
    <t>Profit on cost</t>
  </si>
  <si>
    <t>Calculations</t>
  </si>
  <si>
    <t>Historical works cost</t>
  </si>
  <si>
    <t>Historical total cost</t>
  </si>
  <si>
    <t>Works OH rate on wages</t>
  </si>
  <si>
    <t>Establishment rate on works cost</t>
  </si>
  <si>
    <t>New prime cost</t>
  </si>
  <si>
    <t>Applied works OH</t>
  </si>
  <si>
    <t>New works cost</t>
  </si>
  <si>
    <t>Applied establishment expense</t>
  </si>
  <si>
    <t>Total estimated cost</t>
  </si>
  <si>
    <t>Profit</t>
  </si>
  <si>
    <t>Quoted price</t>
  </si>
  <si>
    <t>Problem Set 1 - Problem 3</t>
  </si>
  <si>
    <t>Cost sheet with raw material, WIP and finished goods inventory adjustments.</t>
  </si>
  <si>
    <t>Sales</t>
  </si>
  <si>
    <t>Opening materials</t>
  </si>
  <si>
    <t>Purchases</t>
  </si>
  <si>
    <t>Closing materials</t>
  </si>
  <si>
    <t>Factory OH % of DL</t>
  </si>
  <si>
    <t>Admin OH % of works cost</t>
  </si>
  <si>
    <t>Selling OH % sales</t>
  </si>
  <si>
    <t>Materials consumed</t>
  </si>
  <si>
    <t>Factory OH</t>
  </si>
  <si>
    <t>Net works cost</t>
  </si>
  <si>
    <t>Administration OH</t>
  </si>
  <si>
    <t>COGS</t>
  </si>
  <si>
    <t>Selling OH</t>
  </si>
  <si>
    <t>Problem Set 1 - Problem 4</t>
  </si>
  <si>
    <t>Main method used in the professor solution: administration OH is included in cost of production and closing FG valuation.</t>
  </si>
  <si>
    <t>Raw materials</t>
  </si>
  <si>
    <t>Wages</t>
  </si>
  <si>
    <t>Machine hours</t>
  </si>
  <si>
    <t>Machine hour rate</t>
  </si>
  <si>
    <t>Office OH % works cost</t>
  </si>
  <si>
    <t>Selling OH per unit sold</t>
  </si>
  <si>
    <t>Units produced</t>
  </si>
  <si>
    <t>Units sold</t>
  </si>
  <si>
    <t>Selling price per unit</t>
  </si>
  <si>
    <t>Works cost</t>
  </si>
  <si>
    <t>Office OH</t>
  </si>
  <si>
    <t>Production cost per unit</t>
  </si>
  <si>
    <t>Closing FG units</t>
  </si>
  <si>
    <t>Closing FG value</t>
  </si>
  <si>
    <t>Problem Set 2 - Problem 1</t>
  </si>
  <si>
    <t>Reconstruct missing inventories by working backward from prime cost, conversion cost, gross margin and goods available for sale.</t>
  </si>
  <si>
    <t>DM purchases</t>
  </si>
  <si>
    <t>Opening DM</t>
  </si>
  <si>
    <t>Revenue</t>
  </si>
  <si>
    <t>Indirect factory cost % of conversion cost</t>
  </si>
  <si>
    <t>Goods available for sale</t>
  </si>
  <si>
    <t>Gross margin % of revenue</t>
  </si>
  <si>
    <t>Solution</t>
  </si>
  <si>
    <t>DM used</t>
  </si>
  <si>
    <t>Closing DM</t>
  </si>
  <si>
    <t>Conversion cost</t>
  </si>
  <si>
    <t>Indirect factory cost</t>
  </si>
  <si>
    <t>Gross production cost</t>
  </si>
  <si>
    <t>Problem Set 2 - Problems 2 and 3</t>
  </si>
  <si>
    <t>All amounts in rupees. Problem 3 treats indirect other manufacturing costs as period costs rather than inventoriable costs.</t>
  </si>
  <si>
    <t>DM cost</t>
  </si>
  <si>
    <t>DL</t>
  </si>
  <si>
    <t>Plant energy</t>
  </si>
  <si>
    <t>Indirect labour variable</t>
  </si>
  <si>
    <t>Indirect labour fixed</t>
  </si>
  <si>
    <t>Indirect other variable</t>
  </si>
  <si>
    <t>Indirect other fixed</t>
  </si>
  <si>
    <t>Variable marketing/distribution</t>
  </si>
  <si>
    <t>Fixed marketing/distribution</t>
  </si>
  <si>
    <t>Fixed admin</t>
  </si>
  <si>
    <t>DM kg per unit</t>
  </si>
  <si>
    <t>Ending DM kg</t>
  </si>
  <si>
    <t>Ending FG value given</t>
  </si>
  <si>
    <t>Problem 3 ending FG units</t>
  </si>
  <si>
    <t>Problem 2</t>
  </si>
  <si>
    <t>DM cost per kg</t>
  </si>
  <si>
    <t>Ending DM inventory</t>
  </si>
  <si>
    <t>Manufacturing cost</t>
  </si>
  <si>
    <t>Unit manufacturing cost</t>
  </si>
  <si>
    <t>Ending FG units</t>
  </si>
  <si>
    <t>Period costs</t>
  </si>
  <si>
    <t>Operating income</t>
  </si>
  <si>
    <t>Problem 3</t>
  </si>
  <si>
    <t>Manufacturing cost excluding indirect other</t>
  </si>
  <si>
    <t>Ending FG value</t>
  </si>
  <si>
    <t>Period costs incl. indirect other</t>
  </si>
  <si>
    <t>Problem Set 2 - Problem 4</t>
  </si>
  <si>
    <t>Use the three inventory equations: Beg + Inflow - Outflow = End.</t>
  </si>
  <si>
    <t>Beginning WIP</t>
  </si>
  <si>
    <t>Beginning DM</t>
  </si>
  <si>
    <t>DM purchased</t>
  </si>
  <si>
    <t>Variable MOH</t>
  </si>
  <si>
    <t>Total MOH</t>
  </si>
  <si>
    <t>Total manufacturing cost</t>
  </si>
  <si>
    <t>COGM</t>
  </si>
  <si>
    <t>Ending FG</t>
  </si>
  <si>
    <t>Ending DM</t>
  </si>
  <si>
    <t>Fixed MOH</t>
  </si>
  <si>
    <t>Ending WIP</t>
  </si>
  <si>
    <t>Beginning FG</t>
  </si>
  <si>
    <t>PlayCraft Inc. - T-Accounts and Income Statement</t>
  </si>
  <si>
    <t>Based on the question and provided professor solution.</t>
  </si>
  <si>
    <t>Direct material purchases</t>
  </si>
  <si>
    <t>Indirect materials used</t>
  </si>
  <si>
    <t>Factory supervisor</t>
  </si>
  <si>
    <t>Factory utilities</t>
  </si>
  <si>
    <t>Factory repairs</t>
  </si>
  <si>
    <t>Factory depreciation</t>
  </si>
  <si>
    <t>Freight outward</t>
  </si>
  <si>
    <t>Office depreciation</t>
  </si>
  <si>
    <t>Admin salaries</t>
  </si>
  <si>
    <t>Advertising</t>
  </si>
  <si>
    <t>Manufacturing overhead</t>
  </si>
  <si>
    <t>Total manufacturing costs</t>
  </si>
  <si>
    <t>Gross profit</t>
  </si>
  <si>
    <t>Operating expenses</t>
  </si>
  <si>
    <t>Operating profit</t>
  </si>
  <si>
    <t>Solomon Grundy - Cost Flow</t>
  </si>
  <si>
    <t>Tracks RM -&gt; WIP -&gt; FG -&gt; COGS.</t>
  </si>
  <si>
    <t>RM purchased</t>
  </si>
  <si>
    <t>DM issued</t>
  </si>
  <si>
    <t>MOH</t>
  </si>
  <si>
    <t>% completed</t>
  </si>
  <si>
    <t>% of FG sold</t>
  </si>
  <si>
    <t>Ending RM</t>
  </si>
  <si>
    <t>Total WIP before completion</t>
  </si>
  <si>
    <t>Problem Set 3 - Problem 1</t>
  </si>
  <si>
    <t>Primary distribution using the most equitable basis for each overhead.</t>
  </si>
  <si>
    <t>Overhead</t>
  </si>
  <si>
    <t>Total</t>
  </si>
  <si>
    <t>Basis</t>
  </si>
  <si>
    <t>A</t>
  </si>
  <si>
    <t>B</t>
  </si>
  <si>
    <t>C</t>
  </si>
  <si>
    <t>Rent</t>
  </si>
  <si>
    <t>Area</t>
  </si>
  <si>
    <t>Fire insurance</t>
  </si>
  <si>
    <t>Stock value</t>
  </si>
  <si>
    <t>Repairs to plant</t>
  </si>
  <si>
    <t>Power</t>
  </si>
  <si>
    <t>Horsepower</t>
  </si>
  <si>
    <t>Depreciation plant</t>
  </si>
  <si>
    <t>Light</t>
  </si>
  <si>
    <t>Light points</t>
  </si>
  <si>
    <t>Supervision</t>
  </si>
  <si>
    <t>Employees</t>
  </si>
  <si>
    <t>Employer liability</t>
  </si>
  <si>
    <t>Department data</t>
  </si>
  <si>
    <t>D</t>
  </si>
  <si>
    <t>Allocation</t>
  </si>
  <si>
    <t>Check</t>
  </si>
  <si>
    <t>Department total</t>
  </si>
  <si>
    <t>Problem Set 3 - Problem 2</t>
  </si>
  <si>
    <t>Direct redistribution. Ignore services between service departments and allocate only to A, B and C.</t>
  </si>
  <si>
    <t>Department</t>
  </si>
  <si>
    <t>Initial OH</t>
  </si>
  <si>
    <t>Stores basis</t>
  </si>
  <si>
    <t>Workers</t>
  </si>
  <si>
    <t>HP</t>
  </si>
  <si>
    <t>Final OH</t>
  </si>
  <si>
    <t>Service costs</t>
  </si>
  <si>
    <t>Stores</t>
  </si>
  <si>
    <t>Timekeeping &amp; accounts</t>
  </si>
  <si>
    <t>Canteen</t>
  </si>
  <si>
    <t>Allocation by service</t>
  </si>
  <si>
    <t>Service</t>
  </si>
  <si>
    <t>Problem Set 3 - Problem 3</t>
  </si>
  <si>
    <t>Step-down sequence used: Timekeeping -&gt; Stores -&gt; Maintenance.</t>
  </si>
  <si>
    <t>X initial</t>
  </si>
  <si>
    <t>Y initial</t>
  </si>
  <si>
    <t>Stores initial</t>
  </si>
  <si>
    <t>Timekeeping initial</t>
  </si>
  <si>
    <t>Maintenance initial</t>
  </si>
  <si>
    <t>Step 1 - Timekeeping by employees (X20, Y15, Stores10, Maintenance5)</t>
  </si>
  <si>
    <t>X</t>
  </si>
  <si>
    <t>Y</t>
  </si>
  <si>
    <t>Maintenance</t>
  </si>
  <si>
    <t>Step 2 - Stores by requisitions (X12, Y10, Maintenance3)</t>
  </si>
  <si>
    <t>Stores total after TK</t>
  </si>
  <si>
    <t>Step 3 - Maintenance by machine hours (X1200, Y800)</t>
  </si>
  <si>
    <t>Maintenance total</t>
  </si>
  <si>
    <t>Final Production Department OH</t>
  </si>
  <si>
    <t>X final</t>
  </si>
  <si>
    <t>Y final</t>
  </si>
  <si>
    <t>Problem Set 3 - Problem 4</t>
  </si>
  <si>
    <t>Reciprocal method using simultaneous equations. E = 2,340 + 10% F; F = 3,000 + 20% E.</t>
  </si>
  <si>
    <t>A initial</t>
  </si>
  <si>
    <t>B initial</t>
  </si>
  <si>
    <t>C initial</t>
  </si>
  <si>
    <t>E direct</t>
  </si>
  <si>
    <t>F direct</t>
  </si>
  <si>
    <t>True service department costs</t>
  </si>
  <si>
    <t>True E</t>
  </si>
  <si>
    <t>True F</t>
  </si>
  <si>
    <t>Initial</t>
  </si>
  <si>
    <t>E allocation</t>
  </si>
  <si>
    <t>F allocation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</si>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</sst>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;[Red]\(#,##0.00\);\-"/>
  </numFmts>
  <fonts count="6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5" fontId="4" fillId="0" borderId="0" xfId="0" applyNumberFormat="1" applyFont="1" applyAlignment="1">
      <alignment horizontal="right" vertical="center" wrapText="1"/>
    </xf>
    <xf numFmtId="165" fontId="5" fillId="0" borderId="0" xfId="0" applyNumberFormat="1" applyFon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7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4" width="18" customWidth="1"/>
    <col min="5" max="5" width="20" customWidth="1"/>
    <col min="6" max="6" width="28" customWidth="1"/>
  </cols>
  <sheetData>
    <row r="1" spans="1:6">
      <c r="A1" s="9" t="s">
        <v>0</v>
      </c>
      <c r="B1" s="11"/>
      <c r="C1" s="11"/>
      <c r="D1" s="11"/>
      <c r="E1" s="11"/>
      <c r="F1" s="11"/>
    </row>
    <row r="2" spans="1:6" ht="36" customHeight="1">
      <c r="A2" s="8" t="s">
        <v>1</v>
      </c>
      <c r="B2" s="11"/>
      <c r="C2" s="11"/>
      <c r="D2" s="11"/>
      <c r="E2" s="11"/>
      <c r="F2" s="11"/>
    </row>
    <row r="4" spans="1:6">
      <c r="A4" s="1" t="s">
        <v>2</v>
      </c>
      <c r="B4" s="1" t="s">
        <v>3</v>
      </c>
    </row>
    <row r="5" spans="1:6">
      <c r="A5" s="2" t="s">
        <v>4</v>
      </c>
      <c r="B5" s="2" t="s">
        <v>5</v>
      </c>
    </row>
    <row r="6" spans="1:6">
      <c r="A6" s="2" t="s">
        <v>6</v>
      </c>
      <c r="B6" s="2" t="s">
        <v>7</v>
      </c>
    </row>
    <row r="7" spans="1:6">
      <c r="A7" s="2" t="s">
        <v>8</v>
      </c>
      <c r="B7" s="2" t="s">
        <v>9</v>
      </c>
    </row>
    <row r="8" spans="1:6">
      <c r="A8" s="2" t="s">
        <v>10</v>
      </c>
      <c r="B8" s="2" t="s">
        <v>11</v>
      </c>
    </row>
    <row r="9" spans="1:6">
      <c r="A9" s="2" t="s">
        <v>12</v>
      </c>
      <c r="B9" s="2" t="s">
        <v>13</v>
      </c>
    </row>
    <row r="10" spans="1:6">
      <c r="A10" s="2" t="s">
        <v>14</v>
      </c>
      <c r="B10" s="2" t="s">
        <v>15</v>
      </c>
    </row>
    <row r="11" spans="1:6">
      <c r="A11" s="2" t="s">
        <v>16</v>
      </c>
      <c r="B11" s="2" t="s">
        <v>17</v>
      </c>
    </row>
    <row r="12" spans="1:6">
      <c r="A12" s="2" t="s">
        <v>18</v>
      </c>
      <c r="B12" s="2" t="s">
        <v>19</v>
      </c>
    </row>
    <row r="13" spans="1:6">
      <c r="A13" s="2" t="s">
        <v>20</v>
      </c>
      <c r="B13" s="2" t="s">
        <v>21</v>
      </c>
    </row>
    <row r="14" spans="1:6">
      <c r="A14" s="2" t="s">
        <v>22</v>
      </c>
      <c r="B14" s="2" t="s">
        <v>23</v>
      </c>
    </row>
    <row r="15" spans="1:6">
      <c r="A15" s="2" t="s">
        <v>24</v>
      </c>
      <c r="B15" s="2" t="s">
        <v>25</v>
      </c>
    </row>
    <row r="16" spans="1:6">
      <c r="A16" s="2" t="s">
        <v>26</v>
      </c>
      <c r="B16" s="2" t="s">
        <v>27</v>
      </c>
    </row>
    <row r="17" spans="1:2">
      <c r="A17" s="2" t="s">
        <v>28</v>
      </c>
      <c r="B17" s="2" t="s">
        <v>29</v>
      </c>
    </row>
  </sheetData>
  <mergeCells count="2">
    <mergeCell ref="A2:F2"/>
    <mergeCell ref="A1:F1"/>
  </mergeCells>
  <pageMargins left="0.25" right="0.2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4" width="18" customWidth="1"/>
    <col min="5" max="5" width="20" customWidth="1"/>
    <col min="6" max="6" width="28" customWidth="1"/>
  </cols>
  <sheetData>
    <row r="1" spans="1:6">
      <c r="A1" s="9" t="s">
        <v>30</v>
      </c>
      <c r="B1" s="11"/>
      <c r="C1" s="11"/>
      <c r="D1" s="11"/>
      <c r="E1" s="11"/>
      <c r="F1" s="11"/>
    </row>
    <row r="2" spans="1:6" ht="36" customHeight="1">
      <c r="A2" s="8" t="s">
        <v>31</v>
      </c>
      <c r="B2" s="11"/>
      <c r="C2" s="11"/>
      <c r="D2" s="11"/>
      <c r="E2" s="11"/>
      <c r="F2" s="11"/>
    </row>
    <row r="4" spans="1:6">
      <c r="A4" s="10" t="s">
        <v>32</v>
      </c>
      <c r="B4" s="11"/>
      <c r="C4" s="11"/>
      <c r="D4" s="11"/>
      <c r="E4" s="11"/>
      <c r="F4" s="11"/>
    </row>
    <row r="5" spans="1:6">
      <c r="A5" s="1" t="s">
        <v>33</v>
      </c>
      <c r="B5" s="1" t="s">
        <v>34</v>
      </c>
      <c r="C5" s="1"/>
      <c r="D5" s="1"/>
      <c r="E5" s="1"/>
      <c r="F5" s="1"/>
    </row>
    <row r="6" spans="1:6">
      <c r="A6" s="2" t="s">
        <v>35</v>
      </c>
      <c r="B6" s="3">
        <v>140000</v>
      </c>
    </row>
    <row r="7" spans="1:6">
      <c r="A7" s="2" t="s">
        <v>36</v>
      </c>
      <c r="B7" s="3">
        <v>200000</v>
      </c>
    </row>
    <row r="8" spans="1:6">
      <c r="A8" s="2" t="s">
        <v>37</v>
      </c>
      <c r="B8" s="3">
        <v>80000</v>
      </c>
    </row>
    <row r="9" spans="1:6">
      <c r="A9" s="2" t="s">
        <v>38</v>
      </c>
      <c r="B9" s="3">
        <v>320000</v>
      </c>
    </row>
    <row r="10" spans="1:6">
      <c r="A10" s="2" t="s">
        <v>39</v>
      </c>
      <c r="B10" s="3">
        <v>4800</v>
      </c>
    </row>
    <row r="11" spans="1:6">
      <c r="A11" s="2" t="s">
        <v>40</v>
      </c>
      <c r="B11" s="3">
        <v>16000</v>
      </c>
    </row>
    <row r="12" spans="1:6">
      <c r="A12" s="2" t="s">
        <v>41</v>
      </c>
      <c r="B12" s="3">
        <v>180000</v>
      </c>
    </row>
    <row r="13" spans="1:6">
      <c r="A13" s="2" t="s">
        <v>42</v>
      </c>
      <c r="B13" s="3">
        <v>160000</v>
      </c>
    </row>
    <row r="14" spans="1:6">
      <c r="A14" s="2" t="s">
        <v>43</v>
      </c>
      <c r="B14" s="3">
        <v>8000</v>
      </c>
    </row>
    <row r="15" spans="1:6">
      <c r="A15" s="2" t="s">
        <v>44</v>
      </c>
      <c r="B15" s="3">
        <v>50000</v>
      </c>
    </row>
    <row r="16" spans="1:6">
      <c r="A16" s="2" t="s">
        <v>45</v>
      </c>
      <c r="B16" s="3">
        <v>18000</v>
      </c>
    </row>
    <row r="17" spans="1:2">
      <c r="A17" s="2" t="s">
        <v>46</v>
      </c>
      <c r="B17" s="3">
        <v>1200</v>
      </c>
    </row>
    <row r="18" spans="1:2">
      <c r="A18" s="2" t="s">
        <v>47</v>
      </c>
      <c r="B18" s="3">
        <v>10000</v>
      </c>
    </row>
    <row r="19" spans="1:2">
      <c r="A19" s="2" t="s">
        <v>48</v>
      </c>
      <c r="B19" s="3">
        <v>14000</v>
      </c>
    </row>
    <row r="20" spans="1:2">
      <c r="A20" s="2" t="s">
        <v>49</v>
      </c>
      <c r="B20" s="3">
        <v>65000</v>
      </c>
    </row>
    <row r="21" spans="1:2">
      <c r="A21" s="2" t="s">
        <v>50</v>
      </c>
      <c r="B21" s="3">
        <v>6300</v>
      </c>
    </row>
    <row r="22" spans="1:2">
      <c r="A22" s="2" t="s">
        <v>51</v>
      </c>
      <c r="B22" s="3">
        <v>18700</v>
      </c>
    </row>
    <row r="23" spans="1:2">
      <c r="A23" s="2" t="s">
        <v>52</v>
      </c>
      <c r="B23" s="3">
        <v>460500</v>
      </c>
    </row>
    <row r="24" spans="1:2">
      <c r="A24" s="2" t="s">
        <v>53</v>
      </c>
      <c r="B24" s="3">
        <v>200000</v>
      </c>
    </row>
    <row r="25" spans="1:2">
      <c r="A25" s="2" t="s">
        <v>54</v>
      </c>
      <c r="B25" s="3">
        <v>17500</v>
      </c>
    </row>
    <row r="26" spans="1:2">
      <c r="A26" s="2" t="s">
        <v>55</v>
      </c>
      <c r="B26" s="3">
        <v>192000</v>
      </c>
    </row>
    <row r="27" spans="1:2">
      <c r="A27" s="2" t="s">
        <v>56</v>
      </c>
      <c r="B27" s="3">
        <v>115000</v>
      </c>
    </row>
    <row r="28" spans="1:2">
      <c r="A28" s="2" t="s">
        <v>57</v>
      </c>
      <c r="B28" s="3">
        <v>8600</v>
      </c>
    </row>
    <row r="29" spans="1:2">
      <c r="A29" s="2" t="s">
        <v>58</v>
      </c>
      <c r="B29" s="3">
        <v>33600</v>
      </c>
    </row>
    <row r="30" spans="1:2">
      <c r="A30" s="2" t="s">
        <v>59</v>
      </c>
      <c r="B30" s="3">
        <v>11000</v>
      </c>
    </row>
    <row r="31" spans="1:2">
      <c r="A31" s="2" t="s">
        <v>60</v>
      </c>
      <c r="B31" s="3">
        <v>22500</v>
      </c>
    </row>
    <row r="32" spans="1:2">
      <c r="A32" s="2" t="s">
        <v>61</v>
      </c>
      <c r="B32" s="3">
        <v>18000</v>
      </c>
    </row>
    <row r="33" spans="1:6">
      <c r="A33" s="2" t="s">
        <v>62</v>
      </c>
      <c r="B33" s="3">
        <v>768000</v>
      </c>
    </row>
    <row r="34" spans="1:6">
      <c r="A34" s="2" t="s">
        <v>63</v>
      </c>
      <c r="B34" s="3">
        <v>14000</v>
      </c>
    </row>
    <row r="36" spans="1:6">
      <c r="A36" s="10" t="s">
        <v>64</v>
      </c>
      <c r="B36" s="11"/>
      <c r="C36" s="11"/>
      <c r="D36" s="11"/>
      <c r="E36" s="11"/>
      <c r="F36" s="11"/>
    </row>
    <row r="37" spans="1:6">
      <c r="A37" s="1" t="s">
        <v>65</v>
      </c>
      <c r="B37" s="1" t="s">
        <v>66</v>
      </c>
      <c r="C37" s="1" t="s">
        <v>67</v>
      </c>
      <c r="D37" s="1"/>
      <c r="E37" s="1"/>
      <c r="F37" s="1"/>
    </row>
    <row r="38" spans="1:6">
      <c r="A38" s="2" t="s">
        <v>68</v>
      </c>
      <c r="B38" s="4" t="str">
        <f>B9-B10+B11</f>
        <v/>
      </c>
      <c r="C38" s="5" t="str">
        <f>B9-B10+B11</f>
        <v/>
      </c>
    </row>
    <row r="39" spans="1:6">
      <c r="A39" s="2" t="s">
        <v>69</v>
      </c>
      <c r="B39" s="4" t="str">
        <f>B38+B6-B12</f>
        <v/>
      </c>
      <c r="C39" s="5" t="str">
        <f>B38+B6-B12</f>
        <v/>
      </c>
    </row>
    <row r="40" spans="1:6">
      <c r="A40" s="2" t="s">
        <v>70</v>
      </c>
      <c r="B40" s="4" t="str">
        <f>B13+B14</f>
        <v/>
      </c>
      <c r="C40" s="5" t="str">
        <f>B13+B14</f>
        <v/>
      </c>
    </row>
    <row r="41" spans="1:6">
      <c r="A41" s="2" t="s">
        <v>71</v>
      </c>
      <c r="B41" s="4" t="str">
        <f>B39+B40+B15</f>
        <v/>
      </c>
      <c r="C41" s="5" t="str">
        <f>B39+B40+B15</f>
        <v/>
      </c>
    </row>
    <row r="42" spans="1:6">
      <c r="A42" s="2" t="s">
        <v>72</v>
      </c>
      <c r="B42" s="4" t="str">
        <f>B16+B17</f>
        <v/>
      </c>
      <c r="C42" s="5" t="str">
        <f>B16+B17</f>
        <v/>
      </c>
    </row>
    <row r="43" spans="1:6">
      <c r="A43" s="2" t="s">
        <v>73</v>
      </c>
      <c r="B43" s="4" t="str">
        <f>B20*8/10</f>
        <v/>
      </c>
      <c r="C43" s="5" t="str">
        <f>B20*8/10</f>
        <v/>
      </c>
    </row>
    <row r="44" spans="1:6">
      <c r="A44" s="2" t="s">
        <v>74</v>
      </c>
      <c r="B44" s="4" t="str">
        <f>B21*2/3</f>
        <v/>
      </c>
      <c r="C44" s="5" t="str">
        <f>B21*2/3</f>
        <v/>
      </c>
    </row>
    <row r="45" spans="1:6">
      <c r="A45" s="2" t="s">
        <v>75</v>
      </c>
      <c r="B45" s="4" t="str">
        <f>B23*10%</f>
        <v/>
      </c>
      <c r="C45" s="5" t="str">
        <f>B23*10%</f>
        <v/>
      </c>
    </row>
    <row r="46" spans="1:6">
      <c r="A46" s="2" t="s">
        <v>76</v>
      </c>
      <c r="B46" s="4" t="str">
        <f>B24*4%*8/10</f>
        <v/>
      </c>
      <c r="C46" s="5" t="str">
        <f>B24*4%*8/10</f>
        <v/>
      </c>
    </row>
    <row r="47" spans="1:6">
      <c r="A47" s="2" t="s">
        <v>77</v>
      </c>
      <c r="B47" s="4" t="str">
        <f>SUM(B42:B46)+B18+B19+B22</f>
        <v/>
      </c>
      <c r="C47" s="5" t="str">
        <f>SUM(B42:B46)+B18+B19+B22</f>
        <v/>
      </c>
    </row>
    <row r="48" spans="1:6">
      <c r="A48" s="2" t="s">
        <v>78</v>
      </c>
      <c r="B48" s="4" t="str">
        <f>B41+B47</f>
        <v/>
      </c>
      <c r="C48" s="5" t="str">
        <f>B41+B47</f>
        <v/>
      </c>
    </row>
    <row r="49" spans="1:3">
      <c r="A49" s="2" t="s">
        <v>79</v>
      </c>
      <c r="B49" s="4" t="str">
        <f>B48+B7-B26</f>
        <v/>
      </c>
      <c r="C49" s="5" t="str">
        <f>B48+B7-B26</f>
        <v/>
      </c>
    </row>
    <row r="50" spans="1:3">
      <c r="A50" s="2" t="s">
        <v>80</v>
      </c>
      <c r="B50" s="4" t="str">
        <f>B20*1/10</f>
        <v/>
      </c>
      <c r="C50" s="5" t="str">
        <f>B20*1/10</f>
        <v/>
      </c>
    </row>
    <row r="51" spans="1:3">
      <c r="A51" s="2" t="s">
        <v>81</v>
      </c>
      <c r="B51" s="4" t="str">
        <f>B21*1/3</f>
        <v/>
      </c>
      <c r="C51" s="5" t="str">
        <f>B21*1/3</f>
        <v/>
      </c>
    </row>
    <row r="52" spans="1:3">
      <c r="A52" s="2" t="s">
        <v>82</v>
      </c>
      <c r="B52" s="4" t="str">
        <f>B24*4%*1/10</f>
        <v/>
      </c>
      <c r="C52" s="5" t="str">
        <f>B24*4%*1/10</f>
        <v/>
      </c>
    </row>
    <row r="53" spans="1:3">
      <c r="A53" s="2" t="s">
        <v>83</v>
      </c>
      <c r="B53" s="4" t="str">
        <f>B25*5%</f>
        <v/>
      </c>
      <c r="C53" s="5" t="str">
        <f>B25*5%</f>
        <v/>
      </c>
    </row>
    <row r="54" spans="1:3">
      <c r="A54" s="2" t="s">
        <v>84</v>
      </c>
      <c r="B54" s="4" t="str">
        <f>SUM(B50:B53)+B28</f>
        <v/>
      </c>
      <c r="C54" s="5" t="str">
        <f>SUM(B50:B53)+B28</f>
        <v/>
      </c>
    </row>
    <row r="55" spans="1:3">
      <c r="A55" s="2" t="s">
        <v>85</v>
      </c>
      <c r="B55" s="4" t="str">
        <f>B49+B54</f>
        <v/>
      </c>
      <c r="C55" s="5" t="str">
        <f>B49+B54</f>
        <v/>
      </c>
    </row>
    <row r="56" spans="1:3">
      <c r="A56" s="2" t="s">
        <v>86</v>
      </c>
      <c r="B56" s="4" t="str">
        <f>B55+B8-B27</f>
        <v/>
      </c>
      <c r="C56" s="5" t="str">
        <f>B55+B8-B27</f>
        <v/>
      </c>
    </row>
    <row r="57" spans="1:3">
      <c r="A57" s="2" t="s">
        <v>87</v>
      </c>
      <c r="B57" s="4" t="str">
        <f>B20*1/10</f>
        <v/>
      </c>
      <c r="C57" s="5" t="str">
        <f>B20*1/10</f>
        <v/>
      </c>
    </row>
    <row r="58" spans="1:3">
      <c r="A58" s="2" t="s">
        <v>88</v>
      </c>
      <c r="B58" s="4" t="str">
        <f>B24*4%*1/10</f>
        <v/>
      </c>
      <c r="C58" s="5" t="str">
        <f>B24*4%*1/10</f>
        <v/>
      </c>
    </row>
    <row r="59" spans="1:3">
      <c r="A59" s="2" t="s">
        <v>89</v>
      </c>
      <c r="B59" s="4" t="str">
        <f>SUM(B57:B58)+B29+B30+B31+B32</f>
        <v/>
      </c>
      <c r="C59" s="5" t="str">
        <f>SUM(B57:B58)+B29+B30+B31+B32</f>
        <v/>
      </c>
    </row>
    <row r="60" spans="1:3">
      <c r="A60" s="2" t="s">
        <v>90</v>
      </c>
      <c r="B60" s="4" t="str">
        <f>B56+B59</f>
        <v/>
      </c>
      <c r="C60" s="5" t="str">
        <f>B56+B59</f>
        <v/>
      </c>
    </row>
    <row r="61" spans="1:3">
      <c r="A61" s="2" t="s">
        <v>91</v>
      </c>
      <c r="B61" s="4" t="str">
        <f>B33-B34</f>
        <v/>
      </c>
      <c r="C61" s="5" t="str">
        <f>B33-B34</f>
        <v/>
      </c>
    </row>
    <row r="62" spans="1:3">
      <c r="A62" s="2" t="s">
        <v>92</v>
      </c>
      <c r="B62" s="4" t="str">
        <f>B61-B60</f>
        <v/>
      </c>
      <c r="C62" s="5" t="str">
        <f>B61-B60</f>
        <v/>
      </c>
    </row>
  </sheetData>
  <mergeCells count="4">
    <mergeCell ref="A36:F36"/>
    <mergeCell ref="A2:F2"/>
    <mergeCell ref="A1:F1"/>
    <mergeCell ref="A4:F4"/>
  </mergeCells>
  <pageMargins left="0.25" right="0.2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4" width="18" customWidth="1"/>
    <col min="5" max="5" width="20" customWidth="1"/>
    <col min="6" max="6" width="28" customWidth="1"/>
  </cols>
  <sheetData>
    <row r="1" spans="1:6">
      <c r="A1" s="9" t="s">
        <v>93</v>
      </c>
      <c r="B1" s="11"/>
      <c r="C1" s="11"/>
      <c r="D1" s="11"/>
      <c r="E1" s="11"/>
      <c r="F1" s="11"/>
    </row>
    <row r="2" spans="1:6" ht="36" customHeight="1">
      <c r="A2" s="8" t="s">
        <v>94</v>
      </c>
      <c r="B2" s="11"/>
      <c r="C2" s="11"/>
      <c r="D2" s="11"/>
      <c r="E2" s="11"/>
      <c r="F2" s="11"/>
    </row>
    <row r="4" spans="1:6">
      <c r="A4" s="10" t="s">
        <v>95</v>
      </c>
      <c r="B4" s="11"/>
      <c r="C4" s="11"/>
      <c r="D4" s="11"/>
      <c r="E4" s="11"/>
      <c r="F4" s="11"/>
    </row>
    <row r="5" spans="1:6">
      <c r="A5" s="2" t="s">
        <v>96</v>
      </c>
      <c r="B5" s="3">
        <v>180000</v>
      </c>
    </row>
    <row r="6" spans="1:6">
      <c r="A6" s="2" t="s">
        <v>97</v>
      </c>
      <c r="B6" s="3">
        <v>160000</v>
      </c>
    </row>
    <row r="7" spans="1:6">
      <c r="A7" s="2" t="s">
        <v>98</v>
      </c>
      <c r="B7" s="3">
        <v>40000</v>
      </c>
    </row>
    <row r="8" spans="1:6">
      <c r="A8" s="2" t="s">
        <v>99</v>
      </c>
      <c r="B8" s="3">
        <v>19000</v>
      </c>
    </row>
    <row r="9" spans="1:6">
      <c r="A9" s="2" t="s">
        <v>100</v>
      </c>
      <c r="B9" s="3">
        <v>8000</v>
      </c>
    </row>
    <row r="10" spans="1:6">
      <c r="A10" s="2" t="s">
        <v>101</v>
      </c>
      <c r="B10" s="3">
        <v>6000</v>
      </c>
    </row>
    <row r="11" spans="1:6">
      <c r="A11" s="2" t="s">
        <v>102</v>
      </c>
      <c r="B11" s="3">
        <v>0.25</v>
      </c>
    </row>
    <row r="13" spans="1:6">
      <c r="A13" s="10" t="s">
        <v>103</v>
      </c>
      <c r="B13" s="11"/>
      <c r="C13" s="11"/>
      <c r="D13" s="11"/>
      <c r="E13" s="11"/>
      <c r="F13" s="11"/>
    </row>
    <row r="14" spans="1:6">
      <c r="A14" s="2" t="s">
        <v>104</v>
      </c>
      <c r="B14" s="4" t="str">
        <f>B5+B6+B7</f>
        <v/>
      </c>
    </row>
    <row r="15" spans="1:6">
      <c r="A15" s="2" t="s">
        <v>105</v>
      </c>
      <c r="B15" s="4" t="str">
        <f>B14+B8</f>
        <v/>
      </c>
    </row>
    <row r="16" spans="1:6">
      <c r="A16" s="2" t="s">
        <v>106</v>
      </c>
      <c r="B16" s="4" t="str">
        <f>B7/B6</f>
        <v/>
      </c>
    </row>
    <row r="17" spans="1:2">
      <c r="A17" s="2" t="s">
        <v>107</v>
      </c>
      <c r="B17" s="4" t="str">
        <f>B8/B14</f>
        <v/>
      </c>
    </row>
    <row r="18" spans="1:2">
      <c r="A18" s="2" t="s">
        <v>108</v>
      </c>
      <c r="B18" s="4" t="str">
        <f>B9+B10</f>
        <v/>
      </c>
    </row>
    <row r="19" spans="1:2">
      <c r="A19" s="2" t="s">
        <v>109</v>
      </c>
      <c r="B19" s="4" t="str">
        <f>B10*B16</f>
        <v/>
      </c>
    </row>
    <row r="20" spans="1:2">
      <c r="A20" s="2" t="s">
        <v>110</v>
      </c>
      <c r="B20" s="4" t="str">
        <f>B18+B19</f>
        <v/>
      </c>
    </row>
    <row r="21" spans="1:2">
      <c r="A21" s="2" t="s">
        <v>111</v>
      </c>
      <c r="B21" s="4" t="str">
        <f>B20*B17</f>
        <v/>
      </c>
    </row>
    <row r="22" spans="1:2">
      <c r="A22" s="2" t="s">
        <v>112</v>
      </c>
      <c r="B22" s="4" t="str">
        <f>B20+B21</f>
        <v/>
      </c>
    </row>
    <row r="23" spans="1:2">
      <c r="A23" s="2" t="s">
        <v>113</v>
      </c>
      <c r="B23" s="4" t="str">
        <f>B22*B11</f>
        <v/>
      </c>
    </row>
    <row r="24" spans="1:2">
      <c r="A24" s="2" t="s">
        <v>114</v>
      </c>
      <c r="B24" s="4" t="str">
        <f>B22+B23</f>
        <v/>
      </c>
    </row>
  </sheetData>
  <mergeCells count="4">
    <mergeCell ref="A13:F13"/>
    <mergeCell ref="A2:F2"/>
    <mergeCell ref="A1:F1"/>
    <mergeCell ref="A4:F4"/>
  </mergeCells>
  <pageMargins left="0.25" right="0.2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4" width="18" customWidth="1"/>
    <col min="5" max="5" width="20" customWidth="1"/>
    <col min="6" max="6" width="28" customWidth="1"/>
  </cols>
  <sheetData>
    <row r="1" spans="1:6">
      <c r="A1" s="9" t="s">
        <v>115</v>
      </c>
      <c r="B1" s="11"/>
      <c r="C1" s="11"/>
      <c r="D1" s="11"/>
      <c r="E1" s="11"/>
      <c r="F1" s="11"/>
    </row>
    <row r="2" spans="1:6" ht="36" customHeight="1">
      <c r="A2" s="8" t="s">
        <v>116</v>
      </c>
      <c r="B2" s="11"/>
      <c r="C2" s="11"/>
      <c r="D2" s="11"/>
      <c r="E2" s="11"/>
      <c r="F2" s="11"/>
    </row>
    <row r="4" spans="1:6">
      <c r="A4" s="2" t="s">
        <v>117</v>
      </c>
      <c r="B4" s="3">
        <v>275000</v>
      </c>
    </row>
    <row r="5" spans="1:6">
      <c r="A5" s="2" t="s">
        <v>118</v>
      </c>
      <c r="B5" s="3">
        <v>3000</v>
      </c>
    </row>
    <row r="6" spans="1:6">
      <c r="A6" s="2" t="s">
        <v>36</v>
      </c>
      <c r="B6" s="3">
        <v>4000</v>
      </c>
    </row>
    <row r="7" spans="1:6">
      <c r="A7" s="2" t="s">
        <v>37</v>
      </c>
      <c r="B7" s="3">
        <v>8000</v>
      </c>
    </row>
    <row r="8" spans="1:6">
      <c r="A8" s="2" t="s">
        <v>119</v>
      </c>
      <c r="B8" s="3">
        <v>110000</v>
      </c>
    </row>
    <row r="9" spans="1:6">
      <c r="A9" s="2" t="s">
        <v>70</v>
      </c>
      <c r="B9" s="3">
        <v>65000</v>
      </c>
    </row>
    <row r="10" spans="1:6">
      <c r="A10" s="2" t="s">
        <v>44</v>
      </c>
      <c r="B10" s="3">
        <v>10000</v>
      </c>
    </row>
    <row r="11" spans="1:6">
      <c r="A11" s="2" t="s">
        <v>120</v>
      </c>
      <c r="B11" s="3">
        <v>4000</v>
      </c>
    </row>
    <row r="12" spans="1:6">
      <c r="A12" s="2" t="s">
        <v>55</v>
      </c>
      <c r="B12" s="3">
        <v>6000</v>
      </c>
    </row>
    <row r="13" spans="1:6">
      <c r="A13" s="2" t="s">
        <v>56</v>
      </c>
      <c r="B13" s="3">
        <v>7000</v>
      </c>
    </row>
    <row r="14" spans="1:6">
      <c r="A14" s="2" t="s">
        <v>121</v>
      </c>
      <c r="B14" s="3">
        <v>0.5</v>
      </c>
    </row>
    <row r="15" spans="1:6">
      <c r="A15" s="2" t="s">
        <v>122</v>
      </c>
      <c r="B15" s="3">
        <v>0.1</v>
      </c>
    </row>
    <row r="16" spans="1:6">
      <c r="A16" s="2" t="s">
        <v>123</v>
      </c>
      <c r="B16" s="3">
        <v>0.05</v>
      </c>
    </row>
    <row r="18" spans="1:6">
      <c r="A18" s="10" t="s">
        <v>64</v>
      </c>
      <c r="B18" s="11"/>
      <c r="C18" s="11"/>
      <c r="D18" s="11"/>
      <c r="E18" s="11"/>
      <c r="F18" s="11"/>
    </row>
    <row r="19" spans="1:6">
      <c r="A19" s="2" t="s">
        <v>124</v>
      </c>
      <c r="B19" s="4" t="str">
        <f>B8+B5-B11</f>
        <v/>
      </c>
    </row>
    <row r="20" spans="1:6">
      <c r="A20" s="2" t="s">
        <v>71</v>
      </c>
      <c r="B20" s="4" t="str">
        <f>B19+B9+B10</f>
        <v/>
      </c>
    </row>
    <row r="21" spans="1:6">
      <c r="A21" s="2" t="s">
        <v>125</v>
      </c>
      <c r="B21" s="4" t="str">
        <f>B9*B14</f>
        <v/>
      </c>
    </row>
    <row r="22" spans="1:6">
      <c r="A22" s="2" t="s">
        <v>78</v>
      </c>
      <c r="B22" s="4" t="str">
        <f>B20+B21</f>
        <v/>
      </c>
    </row>
    <row r="23" spans="1:6">
      <c r="A23" s="2" t="s">
        <v>126</v>
      </c>
      <c r="B23" s="4" t="str">
        <f>B22+B6-B12</f>
        <v/>
      </c>
    </row>
    <row r="24" spans="1:6">
      <c r="A24" s="2" t="s">
        <v>127</v>
      </c>
      <c r="B24" s="4" t="str">
        <f>B23*B15</f>
        <v/>
      </c>
    </row>
    <row r="25" spans="1:6">
      <c r="A25" s="2" t="s">
        <v>85</v>
      </c>
      <c r="B25" s="4" t="str">
        <f>B23+B24</f>
        <v/>
      </c>
    </row>
    <row r="26" spans="1:6">
      <c r="A26" s="2" t="s">
        <v>128</v>
      </c>
      <c r="B26" s="4" t="str">
        <f>B25+B7-B13</f>
        <v/>
      </c>
    </row>
    <row r="27" spans="1:6">
      <c r="A27" s="2" t="s">
        <v>129</v>
      </c>
      <c r="B27" s="4" t="str">
        <f>B4*B16</f>
        <v/>
      </c>
    </row>
    <row r="28" spans="1:6">
      <c r="A28" s="2" t="s">
        <v>90</v>
      </c>
      <c r="B28" s="4" t="str">
        <f>B26+B27</f>
        <v/>
      </c>
    </row>
    <row r="29" spans="1:6">
      <c r="A29" s="2" t="s">
        <v>113</v>
      </c>
      <c r="B29" s="4" t="str">
        <f>B4-B28</f>
        <v/>
      </c>
    </row>
  </sheetData>
  <mergeCells count="3">
    <mergeCell ref="A2:F2"/>
    <mergeCell ref="A1:F1"/>
    <mergeCell ref="A18:F18"/>
  </mergeCells>
  <pageMargins left="0.25" right="0.2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4" width="18" customWidth="1"/>
    <col min="5" max="5" width="20" customWidth="1"/>
    <col min="6" max="6" width="28" customWidth="1"/>
  </cols>
  <sheetData>
    <row r="1" spans="1:6">
      <c r="A1" s="9" t="s">
        <v>130</v>
      </c>
      <c r="B1" s="11"/>
      <c r="C1" s="11"/>
      <c r="D1" s="11"/>
      <c r="E1" s="11"/>
      <c r="F1" s="11"/>
    </row>
    <row r="2" spans="1:6" ht="36" customHeight="1">
      <c r="A2" s="8" t="s">
        <v>131</v>
      </c>
      <c r="B2" s="11"/>
      <c r="C2" s="11"/>
      <c r="D2" s="11"/>
      <c r="E2" s="11"/>
      <c r="F2" s="11"/>
    </row>
    <row r="4" spans="1:6">
      <c r="A4" s="2" t="s">
        <v>132</v>
      </c>
      <c r="B4" s="3">
        <v>4000</v>
      </c>
    </row>
    <row r="5" spans="1:6">
      <c r="A5" s="2" t="s">
        <v>133</v>
      </c>
      <c r="B5" s="3">
        <v>6000</v>
      </c>
    </row>
    <row r="6" spans="1:6">
      <c r="A6" s="2" t="s">
        <v>134</v>
      </c>
      <c r="B6" s="3">
        <v>1000</v>
      </c>
    </row>
    <row r="7" spans="1:6">
      <c r="A7" s="2" t="s">
        <v>135</v>
      </c>
      <c r="B7" s="3">
        <v>0.5</v>
      </c>
    </row>
    <row r="8" spans="1:6">
      <c r="A8" s="2" t="s">
        <v>136</v>
      </c>
      <c r="B8" s="3">
        <v>0.2</v>
      </c>
    </row>
    <row r="9" spans="1:6">
      <c r="A9" s="2" t="s">
        <v>137</v>
      </c>
      <c r="B9" s="3">
        <v>0.06</v>
      </c>
    </row>
    <row r="10" spans="1:6">
      <c r="A10" s="2" t="s">
        <v>138</v>
      </c>
      <c r="B10" s="3">
        <v>20000</v>
      </c>
    </row>
    <row r="11" spans="1:6">
      <c r="A11" s="2" t="s">
        <v>139</v>
      </c>
      <c r="B11" s="3">
        <v>18000</v>
      </c>
    </row>
    <row r="12" spans="1:6">
      <c r="A12" s="2" t="s">
        <v>140</v>
      </c>
      <c r="B12" s="3">
        <v>1</v>
      </c>
    </row>
    <row r="14" spans="1:6">
      <c r="A14" s="10" t="s">
        <v>64</v>
      </c>
      <c r="B14" s="11"/>
      <c r="C14" s="11"/>
      <c r="D14" s="11"/>
      <c r="E14" s="11"/>
      <c r="F14" s="11"/>
    </row>
    <row r="15" spans="1:6">
      <c r="A15" s="2" t="s">
        <v>71</v>
      </c>
      <c r="B15" s="4" t="str">
        <f>B4+B5</f>
        <v/>
      </c>
    </row>
    <row r="16" spans="1:6">
      <c r="A16" s="2" t="s">
        <v>125</v>
      </c>
      <c r="B16" s="4" t="str">
        <f>B6*B7</f>
        <v/>
      </c>
    </row>
    <row r="17" spans="1:2">
      <c r="A17" s="2" t="s">
        <v>141</v>
      </c>
      <c r="B17" s="4" t="str">
        <f>B15+B16</f>
        <v/>
      </c>
    </row>
    <row r="18" spans="1:2">
      <c r="A18" s="2" t="s">
        <v>142</v>
      </c>
      <c r="B18" s="4" t="str">
        <f>B17*B8</f>
        <v/>
      </c>
    </row>
    <row r="19" spans="1:2">
      <c r="A19" s="2" t="s">
        <v>85</v>
      </c>
      <c r="B19" s="4" t="str">
        <f>B17+B18</f>
        <v/>
      </c>
    </row>
    <row r="20" spans="1:2">
      <c r="A20" s="2" t="s">
        <v>143</v>
      </c>
      <c r="B20" s="4" t="str">
        <f>B19/B10</f>
        <v/>
      </c>
    </row>
    <row r="21" spans="1:2">
      <c r="A21" s="2" t="s">
        <v>144</v>
      </c>
      <c r="B21" s="4" t="str">
        <f>B10-B11</f>
        <v/>
      </c>
    </row>
    <row r="22" spans="1:2">
      <c r="A22" s="2" t="s">
        <v>145</v>
      </c>
      <c r="B22" s="4" t="str">
        <f>B21*B20</f>
        <v/>
      </c>
    </row>
    <row r="23" spans="1:2">
      <c r="A23" s="2" t="s">
        <v>128</v>
      </c>
      <c r="B23" s="4" t="str">
        <f>B19-B22</f>
        <v/>
      </c>
    </row>
    <row r="24" spans="1:2">
      <c r="A24" s="2" t="s">
        <v>129</v>
      </c>
      <c r="B24" s="4" t="str">
        <f>B11*B9</f>
        <v/>
      </c>
    </row>
    <row r="25" spans="1:2">
      <c r="A25" s="2" t="s">
        <v>90</v>
      </c>
      <c r="B25" s="4" t="str">
        <f>B23+B24</f>
        <v/>
      </c>
    </row>
    <row r="26" spans="1:2">
      <c r="A26" s="2" t="s">
        <v>117</v>
      </c>
      <c r="B26" s="4" t="str">
        <f>B11*B12</f>
        <v/>
      </c>
    </row>
    <row r="27" spans="1:2">
      <c r="A27" s="2" t="s">
        <v>113</v>
      </c>
      <c r="B27" s="4" t="str">
        <f>B26-B25</f>
        <v/>
      </c>
    </row>
  </sheetData>
  <mergeCells count="3">
    <mergeCell ref="A2:F2"/>
    <mergeCell ref="A14:F14"/>
    <mergeCell ref="A1:F1"/>
  </mergeCells>
  <pageMargins left="0.25" right="0.2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4" width="18" customWidth="1"/>
    <col min="5" max="5" width="20" customWidth="1"/>
    <col min="6" max="6" width="28" customWidth="1"/>
  </cols>
  <sheetData>
    <row r="1" spans="1:6">
      <c r="A1" s="9" t="s">
        <v>146</v>
      </c>
      <c r="B1" s="11"/>
      <c r="C1" s="11"/>
      <c r="D1" s="11"/>
      <c r="E1" s="11"/>
      <c r="F1" s="11"/>
    </row>
    <row r="2" spans="1:6" ht="36" customHeight="1">
      <c r="A2" s="8" t="s">
        <v>147</v>
      </c>
      <c r="B2" s="11"/>
      <c r="C2" s="11"/>
      <c r="D2" s="11"/>
      <c r="E2" s="11"/>
      <c r="F2" s="11"/>
    </row>
    <row r="4" spans="1:6">
      <c r="A4" s="2" t="s">
        <v>148</v>
      </c>
      <c r="B4" s="3">
        <v>1600000</v>
      </c>
    </row>
    <row r="5" spans="1:6">
      <c r="A5" s="2" t="s">
        <v>36</v>
      </c>
      <c r="B5" s="3">
        <v>340000</v>
      </c>
    </row>
    <row r="6" spans="1:6">
      <c r="A6" s="2" t="s">
        <v>149</v>
      </c>
      <c r="B6" s="3">
        <v>160000</v>
      </c>
    </row>
    <row r="7" spans="1:6">
      <c r="A7" s="2" t="s">
        <v>37</v>
      </c>
      <c r="B7" s="3">
        <v>300000</v>
      </c>
    </row>
    <row r="8" spans="1:6">
      <c r="A8" s="2" t="s">
        <v>150</v>
      </c>
      <c r="B8" s="3">
        <v>5000000</v>
      </c>
    </row>
    <row r="9" spans="1:6">
      <c r="A9" s="2" t="s">
        <v>70</v>
      </c>
      <c r="B9" s="3">
        <v>1800000</v>
      </c>
    </row>
    <row r="10" spans="1:6">
      <c r="A10" s="2" t="s">
        <v>71</v>
      </c>
      <c r="B10" s="3">
        <v>2940000</v>
      </c>
    </row>
    <row r="11" spans="1:6">
      <c r="A11" s="2" t="s">
        <v>151</v>
      </c>
      <c r="B11" s="3">
        <v>0.4</v>
      </c>
    </row>
    <row r="12" spans="1:6">
      <c r="A12" s="2" t="s">
        <v>152</v>
      </c>
      <c r="B12" s="3">
        <v>4500000</v>
      </c>
    </row>
    <row r="13" spans="1:6">
      <c r="A13" s="2" t="s">
        <v>153</v>
      </c>
      <c r="B13" s="3">
        <v>0.2</v>
      </c>
    </row>
    <row r="15" spans="1:6">
      <c r="A15" s="10" t="s">
        <v>154</v>
      </c>
      <c r="B15" s="11"/>
      <c r="C15" s="11"/>
      <c r="D15" s="11"/>
      <c r="E15" s="11"/>
      <c r="F15" s="11"/>
    </row>
    <row r="16" spans="1:6">
      <c r="A16" s="2" t="s">
        <v>155</v>
      </c>
      <c r="B16" s="4" t="str">
        <f>B10-B9</f>
        <v/>
      </c>
    </row>
    <row r="17" spans="1:2">
      <c r="A17" s="2" t="s">
        <v>156</v>
      </c>
      <c r="B17" s="4" t="str">
        <f>B6+B4-B16</f>
        <v/>
      </c>
    </row>
    <row r="18" spans="1:2">
      <c r="A18" s="2" t="s">
        <v>157</v>
      </c>
      <c r="B18" s="4" t="str">
        <f>B9/(1-B11)</f>
        <v/>
      </c>
    </row>
    <row r="19" spans="1:2">
      <c r="A19" s="2" t="s">
        <v>158</v>
      </c>
      <c r="B19" s="4" t="str">
        <f>B18*B11</f>
        <v/>
      </c>
    </row>
    <row r="20" spans="1:2">
      <c r="A20" s="2" t="s">
        <v>159</v>
      </c>
      <c r="B20" s="4" t="str">
        <f>B10+B19</f>
        <v/>
      </c>
    </row>
    <row r="21" spans="1:2">
      <c r="A21" s="2" t="s">
        <v>55</v>
      </c>
      <c r="B21" s="4" t="str">
        <f>B20+B5-(B12-B7)</f>
        <v/>
      </c>
    </row>
    <row r="22" spans="1:2">
      <c r="A22" s="2" t="s">
        <v>128</v>
      </c>
      <c r="B22" s="4" t="str">
        <f>B8*(1-B13)</f>
        <v/>
      </c>
    </row>
    <row r="23" spans="1:2">
      <c r="A23" s="2" t="s">
        <v>56</v>
      </c>
      <c r="B23" s="4" t="str">
        <f>B12-B22</f>
        <v/>
      </c>
    </row>
  </sheetData>
  <mergeCells count="3">
    <mergeCell ref="A2:F2"/>
    <mergeCell ref="A1:F1"/>
    <mergeCell ref="A15:F15"/>
  </mergeCells>
  <pageMargins left="0.25" right="0.2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4" width="18" customWidth="1"/>
    <col min="5" max="5" width="20" customWidth="1"/>
    <col min="6" max="6" width="28" customWidth="1"/>
  </cols>
  <sheetData>
    <row r="1" spans="1:6">
      <c r="A1" s="9" t="s">
        <v>160</v>
      </c>
      <c r="B1" s="11"/>
      <c r="C1" s="11"/>
      <c r="D1" s="11"/>
      <c r="E1" s="11"/>
      <c r="F1" s="11"/>
    </row>
    <row r="2" spans="1:6" ht="36" customHeight="1">
      <c r="A2" s="8" t="s">
        <v>161</v>
      </c>
      <c r="B2" s="11"/>
      <c r="C2" s="11"/>
      <c r="D2" s="11"/>
      <c r="E2" s="11"/>
      <c r="F2" s="11"/>
    </row>
    <row r="4" spans="1:6">
      <c r="A4" s="2" t="s">
        <v>162</v>
      </c>
      <c r="B4" s="3">
        <v>140000</v>
      </c>
    </row>
    <row r="5" spans="1:6">
      <c r="A5" s="2" t="s">
        <v>163</v>
      </c>
      <c r="B5" s="3">
        <v>30000</v>
      </c>
    </row>
    <row r="6" spans="1:6">
      <c r="A6" s="2" t="s">
        <v>164</v>
      </c>
      <c r="B6" s="3">
        <v>5000</v>
      </c>
    </row>
    <row r="7" spans="1:6">
      <c r="A7" s="2" t="s">
        <v>165</v>
      </c>
      <c r="B7" s="3">
        <v>10000</v>
      </c>
    </row>
    <row r="8" spans="1:6">
      <c r="A8" s="2" t="s">
        <v>166</v>
      </c>
      <c r="B8" s="3">
        <v>16000</v>
      </c>
    </row>
    <row r="9" spans="1:6">
      <c r="A9" s="2" t="s">
        <v>167</v>
      </c>
      <c r="B9" s="3">
        <v>8000</v>
      </c>
    </row>
    <row r="10" spans="1:6">
      <c r="A10" s="2" t="s">
        <v>168</v>
      </c>
      <c r="B10" s="3">
        <v>24000</v>
      </c>
    </row>
    <row r="11" spans="1:6">
      <c r="A11" s="2" t="s">
        <v>169</v>
      </c>
      <c r="B11" s="3">
        <v>122850</v>
      </c>
    </row>
    <row r="12" spans="1:6">
      <c r="A12" s="2" t="s">
        <v>170</v>
      </c>
      <c r="B12" s="3">
        <v>40000</v>
      </c>
    </row>
    <row r="13" spans="1:6">
      <c r="A13" s="2" t="s">
        <v>171</v>
      </c>
      <c r="B13" s="3">
        <v>50000</v>
      </c>
    </row>
    <row r="14" spans="1:6">
      <c r="A14" s="2" t="s">
        <v>138</v>
      </c>
      <c r="B14" s="3">
        <v>100000</v>
      </c>
    </row>
    <row r="15" spans="1:6">
      <c r="A15" s="2" t="s">
        <v>172</v>
      </c>
      <c r="B15" s="3">
        <v>2</v>
      </c>
    </row>
    <row r="16" spans="1:6">
      <c r="A16" s="2" t="s">
        <v>173</v>
      </c>
      <c r="B16" s="3">
        <v>2000</v>
      </c>
    </row>
    <row r="17" spans="1:6">
      <c r="A17" s="2" t="s">
        <v>150</v>
      </c>
      <c r="B17" s="3">
        <v>436800</v>
      </c>
    </row>
    <row r="18" spans="1:6">
      <c r="A18" s="2" t="s">
        <v>174</v>
      </c>
      <c r="B18" s="3">
        <v>20970</v>
      </c>
    </row>
    <row r="19" spans="1:6">
      <c r="A19" s="2" t="s">
        <v>175</v>
      </c>
      <c r="B19" s="3">
        <v>9000</v>
      </c>
    </row>
    <row r="21" spans="1:6">
      <c r="A21" s="10" t="s">
        <v>176</v>
      </c>
      <c r="B21" s="11"/>
      <c r="C21" s="11"/>
      <c r="D21" s="11"/>
      <c r="E21" s="11"/>
      <c r="F21" s="11"/>
    </row>
    <row r="22" spans="1:6">
      <c r="A22" s="2" t="s">
        <v>177</v>
      </c>
      <c r="B22" s="4" t="str">
        <f>B4/(B14*B15)</f>
        <v/>
      </c>
    </row>
    <row r="23" spans="1:6">
      <c r="A23" s="2" t="s">
        <v>178</v>
      </c>
      <c r="B23" s="4" t="str">
        <f>B16*B22</f>
        <v/>
      </c>
    </row>
    <row r="24" spans="1:6">
      <c r="A24" s="2" t="s">
        <v>179</v>
      </c>
      <c r="B24" s="4" t="str">
        <f>SUM(B4:B10)</f>
        <v/>
      </c>
    </row>
    <row r="25" spans="1:6">
      <c r="A25" s="2" t="s">
        <v>180</v>
      </c>
      <c r="B25" s="4" t="str">
        <f>B24/B14</f>
        <v/>
      </c>
    </row>
    <row r="26" spans="1:6">
      <c r="A26" s="2" t="s">
        <v>181</v>
      </c>
      <c r="B26" s="4" t="str">
        <f>B18/B25</f>
        <v/>
      </c>
    </row>
    <row r="27" spans="1:6">
      <c r="A27" s="2" t="s">
        <v>139</v>
      </c>
      <c r="B27" s="4" t="str">
        <f>B14-B26</f>
        <v/>
      </c>
    </row>
    <row r="28" spans="1:6">
      <c r="A28" s="2" t="s">
        <v>140</v>
      </c>
      <c r="B28" s="4" t="str">
        <f>B17/B27</f>
        <v/>
      </c>
    </row>
    <row r="29" spans="1:6">
      <c r="A29" s="2" t="s">
        <v>128</v>
      </c>
      <c r="B29" s="4" t="str">
        <f>B24-B18</f>
        <v/>
      </c>
    </row>
    <row r="30" spans="1:6">
      <c r="A30" s="2" t="s">
        <v>182</v>
      </c>
      <c r="B30" s="4" t="str">
        <f>SUM(B11:B13)</f>
        <v/>
      </c>
    </row>
    <row r="31" spans="1:6">
      <c r="A31" s="2" t="s">
        <v>183</v>
      </c>
      <c r="B31" s="4" t="str">
        <f>B17-B29-B30</f>
        <v/>
      </c>
    </row>
    <row r="33" spans="1:6">
      <c r="A33" s="10" t="s">
        <v>184</v>
      </c>
      <c r="B33" s="11"/>
      <c r="C33" s="11"/>
      <c r="D33" s="11"/>
      <c r="E33" s="11"/>
      <c r="F33" s="11"/>
    </row>
    <row r="34" spans="1:6">
      <c r="A34" s="2" t="s">
        <v>185</v>
      </c>
      <c r="B34" s="4" t="str">
        <f>SUM(B4:B8)</f>
        <v/>
      </c>
    </row>
    <row r="35" spans="1:6">
      <c r="A35" s="2" t="s">
        <v>180</v>
      </c>
      <c r="B35" s="4" t="str">
        <f>B34/B14</f>
        <v/>
      </c>
    </row>
    <row r="36" spans="1:6">
      <c r="A36" s="2" t="s">
        <v>186</v>
      </c>
      <c r="B36" s="4" t="str">
        <f>B19*B35</f>
        <v/>
      </c>
    </row>
    <row r="37" spans="1:6">
      <c r="A37" s="2" t="s">
        <v>128</v>
      </c>
      <c r="B37" s="4" t="str">
        <f>B34-B36</f>
        <v/>
      </c>
    </row>
    <row r="38" spans="1:6">
      <c r="A38" s="2" t="s">
        <v>187</v>
      </c>
      <c r="B38" s="4" t="str">
        <f>SUM(B9:B13)</f>
        <v/>
      </c>
    </row>
    <row r="39" spans="1:6">
      <c r="A39" s="2" t="s">
        <v>183</v>
      </c>
      <c r="B39" s="4" t="str">
        <f>B17-B37-B38</f>
        <v/>
      </c>
    </row>
  </sheetData>
  <mergeCells count="4">
    <mergeCell ref="A2:F2"/>
    <mergeCell ref="A21:F21"/>
    <mergeCell ref="A33:F33"/>
    <mergeCell ref="A1:F1"/>
  </mergeCells>
  <pageMargins left="0.25" right="0.2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2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4" width="18" customWidth="1"/>
    <col min="5" max="5" width="20" customWidth="1"/>
    <col min="6" max="6" width="28" customWidth="1"/>
  </cols>
  <sheetData>
    <row r="1" spans="1:6">
      <c r="A1" s="9" t="s">
        <v>188</v>
      </c>
      <c r="B1" s="11"/>
      <c r="C1" s="11"/>
      <c r="D1" s="11"/>
      <c r="E1" s="11"/>
      <c r="F1" s="11"/>
    </row>
    <row r="2" spans="1:6" ht="36" customHeight="1">
      <c r="A2" s="8" t="s">
        <v>189</v>
      </c>
      <c r="B2" s="11"/>
      <c r="C2" s="11"/>
      <c r="D2" s="11"/>
      <c r="E2" s="11"/>
      <c r="F2" s="11"/>
    </row>
    <row r="4" spans="1:6">
      <c r="A4" s="2" t="s">
        <v>190</v>
      </c>
      <c r="B4" s="3">
        <v>2000</v>
      </c>
    </row>
    <row r="5" spans="1:6">
      <c r="A5" s="2" t="s">
        <v>191</v>
      </c>
      <c r="B5" s="3">
        <v>900</v>
      </c>
    </row>
    <row r="6" spans="1:6">
      <c r="A6" s="2" t="s">
        <v>192</v>
      </c>
      <c r="B6" s="3">
        <v>3600</v>
      </c>
    </row>
    <row r="7" spans="1:6">
      <c r="A7" s="2" t="s">
        <v>155</v>
      </c>
      <c r="B7" s="3">
        <v>3750</v>
      </c>
    </row>
    <row r="8" spans="1:6">
      <c r="A8" s="2" t="s">
        <v>193</v>
      </c>
      <c r="B8" s="3">
        <v>2500</v>
      </c>
    </row>
    <row r="9" spans="1:6">
      <c r="A9" s="2" t="s">
        <v>194</v>
      </c>
      <c r="B9" s="3">
        <v>4800</v>
      </c>
    </row>
    <row r="10" spans="1:6">
      <c r="A10" s="2" t="s">
        <v>195</v>
      </c>
      <c r="B10" s="3">
        <v>16000</v>
      </c>
    </row>
    <row r="11" spans="1:6">
      <c r="A11" s="2" t="s">
        <v>196</v>
      </c>
      <c r="B11" s="3">
        <v>16500</v>
      </c>
    </row>
    <row r="12" spans="1:6">
      <c r="A12" s="2" t="s">
        <v>128</v>
      </c>
      <c r="B12" s="3">
        <v>17000</v>
      </c>
    </row>
    <row r="13" spans="1:6">
      <c r="A13" s="2" t="s">
        <v>197</v>
      </c>
      <c r="B13" s="3">
        <v>1250</v>
      </c>
    </row>
    <row r="15" spans="1:6">
      <c r="A15" s="10" t="s">
        <v>154</v>
      </c>
      <c r="B15" s="11"/>
      <c r="C15" s="11"/>
      <c r="D15" s="11"/>
      <c r="E15" s="11"/>
      <c r="F15" s="11"/>
    </row>
    <row r="16" spans="1:6">
      <c r="A16" s="2" t="s">
        <v>198</v>
      </c>
      <c r="B16" s="4" t="str">
        <f>B5+B6-B7</f>
        <v/>
      </c>
    </row>
    <row r="17" spans="1:2">
      <c r="A17" s="2" t="s">
        <v>199</v>
      </c>
      <c r="B17" s="4" t="str">
        <f>B9-B8</f>
        <v/>
      </c>
    </row>
    <row r="18" spans="1:2">
      <c r="A18" s="2" t="s">
        <v>70</v>
      </c>
      <c r="B18" s="4" t="str">
        <f>B10-B7-B9</f>
        <v/>
      </c>
    </row>
    <row r="19" spans="1:2">
      <c r="A19" s="2" t="s">
        <v>200</v>
      </c>
      <c r="B19" s="4" t="str">
        <f>B4+B10-B11</f>
        <v/>
      </c>
    </row>
    <row r="20" spans="1:2">
      <c r="A20" s="2" t="s">
        <v>201</v>
      </c>
      <c r="B20" s="4" t="str">
        <f>B12-B11+B13</f>
        <v/>
      </c>
    </row>
    <row r="21" spans="1:2">
      <c r="A21" s="2" t="s">
        <v>152</v>
      </c>
      <c r="B21" s="4" t="str">
        <f>B20+B11</f>
        <v/>
      </c>
    </row>
  </sheetData>
  <mergeCells count="3">
    <mergeCell ref="A2:F2"/>
    <mergeCell ref="A1:F1"/>
    <mergeCell ref="A15:F15"/>
  </mergeCells>
  <pageMargins left="0.25" right="0.2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3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4" width="18" customWidth="1"/>
    <col min="5" max="5" width="20" customWidth="1"/>
    <col min="6" max="6" width="28" customWidth="1"/>
  </cols>
  <sheetData>
    <row r="1" spans="1:6">
      <c r="A1" s="9" t="s">
        <v>202</v>
      </c>
      <c r="B1" s="11"/>
      <c r="C1" s="11"/>
      <c r="D1" s="11"/>
      <c r="E1" s="11"/>
      <c r="F1" s="11"/>
    </row>
    <row r="2" spans="1:6" ht="36" customHeight="1">
      <c r="A2" s="8" t="s">
        <v>203</v>
      </c>
      <c r="B2" s="11"/>
      <c r="C2" s="11"/>
      <c r="D2" s="11"/>
      <c r="E2" s="11"/>
      <c r="F2" s="11"/>
    </row>
    <row r="4" spans="1:6">
      <c r="A4" s="2" t="s">
        <v>35</v>
      </c>
      <c r="B4" s="3">
        <v>75000</v>
      </c>
    </row>
    <row r="5" spans="1:6">
      <c r="A5" s="2" t="s">
        <v>204</v>
      </c>
      <c r="B5" s="3">
        <v>240000</v>
      </c>
    </row>
    <row r="6" spans="1:6">
      <c r="A6" s="2" t="s">
        <v>205</v>
      </c>
      <c r="B6" s="3">
        <v>60000</v>
      </c>
    </row>
    <row r="7" spans="1:6">
      <c r="A7" s="2" t="s">
        <v>41</v>
      </c>
      <c r="B7" s="3">
        <v>45000</v>
      </c>
    </row>
    <row r="8" spans="1:6">
      <c r="A8" s="2" t="s">
        <v>36</v>
      </c>
      <c r="B8" s="3">
        <v>20000</v>
      </c>
    </row>
    <row r="9" spans="1:6">
      <c r="A9" s="2" t="s">
        <v>70</v>
      </c>
      <c r="B9" s="3">
        <v>150000</v>
      </c>
    </row>
    <row r="10" spans="1:6">
      <c r="A10" s="2" t="s">
        <v>206</v>
      </c>
      <c r="B10" s="3">
        <v>50000</v>
      </c>
    </row>
    <row r="11" spans="1:6">
      <c r="A11" s="2" t="s">
        <v>207</v>
      </c>
      <c r="B11" s="3">
        <v>40000</v>
      </c>
    </row>
    <row r="12" spans="1:6">
      <c r="A12" s="2" t="s">
        <v>208</v>
      </c>
      <c r="B12" s="3">
        <v>25000</v>
      </c>
    </row>
    <row r="13" spans="1:6">
      <c r="A13" s="2" t="s">
        <v>209</v>
      </c>
      <c r="B13" s="3">
        <v>36000</v>
      </c>
    </row>
    <row r="14" spans="1:6">
      <c r="A14" s="2" t="s">
        <v>55</v>
      </c>
      <c r="B14" s="3">
        <v>30000</v>
      </c>
    </row>
    <row r="15" spans="1:6">
      <c r="A15" s="2" t="s">
        <v>37</v>
      </c>
      <c r="B15" s="3">
        <v>60000</v>
      </c>
    </row>
    <row r="16" spans="1:6">
      <c r="A16" s="2" t="s">
        <v>56</v>
      </c>
      <c r="B16" s="3">
        <v>70000</v>
      </c>
    </row>
    <row r="17" spans="1:6">
      <c r="A17" s="2" t="s">
        <v>117</v>
      </c>
      <c r="B17" s="3">
        <v>1200000</v>
      </c>
    </row>
    <row r="18" spans="1:6">
      <c r="A18" s="2" t="s">
        <v>210</v>
      </c>
      <c r="B18" s="3">
        <v>45000</v>
      </c>
    </row>
    <row r="19" spans="1:6">
      <c r="A19" s="2" t="s">
        <v>211</v>
      </c>
      <c r="B19" s="3">
        <v>8000</v>
      </c>
    </row>
    <row r="20" spans="1:6">
      <c r="A20" s="2" t="s">
        <v>212</v>
      </c>
      <c r="B20" s="3">
        <v>20000</v>
      </c>
    </row>
    <row r="21" spans="1:6">
      <c r="A21" s="2" t="s">
        <v>213</v>
      </c>
      <c r="B21" s="3">
        <v>35000</v>
      </c>
    </row>
    <row r="23" spans="1:6">
      <c r="A23" s="10" t="s">
        <v>154</v>
      </c>
      <c r="B23" s="11"/>
      <c r="C23" s="11"/>
      <c r="D23" s="11"/>
      <c r="E23" s="11"/>
      <c r="F23" s="11"/>
    </row>
    <row r="24" spans="1:6">
      <c r="A24" s="2" t="s">
        <v>69</v>
      </c>
      <c r="B24" s="4" t="str">
        <f>B4+B5-B6-B7</f>
        <v/>
      </c>
    </row>
    <row r="25" spans="1:6">
      <c r="A25" s="2" t="s">
        <v>214</v>
      </c>
      <c r="B25" s="4" t="str">
        <f>SUM(B6,B10:B13)</f>
        <v/>
      </c>
    </row>
    <row r="26" spans="1:6">
      <c r="A26" s="2" t="s">
        <v>215</v>
      </c>
      <c r="B26" s="4" t="str">
        <f>B24+B9+B25</f>
        <v/>
      </c>
    </row>
    <row r="27" spans="1:6">
      <c r="A27" s="2" t="s">
        <v>196</v>
      </c>
      <c r="B27" s="4" t="str">
        <f>B8+B26-B14</f>
        <v/>
      </c>
    </row>
    <row r="28" spans="1:6">
      <c r="A28" s="2" t="s">
        <v>128</v>
      </c>
      <c r="B28" s="4" t="str">
        <f>B15+B27-B16</f>
        <v/>
      </c>
    </row>
    <row r="29" spans="1:6">
      <c r="A29" s="2" t="s">
        <v>216</v>
      </c>
      <c r="B29" s="4" t="str">
        <f>B17-B28</f>
        <v/>
      </c>
    </row>
    <row r="30" spans="1:6">
      <c r="A30" s="2" t="s">
        <v>217</v>
      </c>
      <c r="B30" s="4" t="str">
        <f>SUM(B18:B21)</f>
        <v/>
      </c>
    </row>
    <row r="31" spans="1:6">
      <c r="A31" s="2" t="s">
        <v>218</v>
      </c>
      <c r="B31" s="4" t="str">
        <f>B29-B30</f>
        <v/>
      </c>
    </row>
  </sheetData>
  <mergeCells count="3">
    <mergeCell ref="A2:F2"/>
    <mergeCell ref="A1:F1"/>
    <mergeCell ref="A23:F23"/>
  </mergeCells>
  <pageMargins left="0.25" right="0.2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1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4" width="18" customWidth="1"/>
    <col min="5" max="5" width="20" customWidth="1"/>
    <col min="6" max="6" width="28" customWidth="1"/>
  </cols>
  <sheetData>
    <row r="1" spans="1:6">
      <c r="A1" s="9" t="s">
        <v>219</v>
      </c>
      <c r="B1" s="11"/>
      <c r="C1" s="11"/>
      <c r="D1" s="11"/>
      <c r="E1" s="11"/>
      <c r="F1" s="11"/>
    </row>
    <row r="2" spans="1:6" ht="36" customHeight="1">
      <c r="A2" s="8" t="s">
        <v>220</v>
      </c>
      <c r="B2" s="11"/>
      <c r="C2" s="11"/>
      <c r="D2" s="11"/>
      <c r="E2" s="11"/>
      <c r="F2" s="11"/>
    </row>
    <row r="4" spans="1:6">
      <c r="A4" s="2" t="s">
        <v>221</v>
      </c>
      <c r="B4" s="3">
        <v>10000</v>
      </c>
    </row>
    <row r="5" spans="1:6">
      <c r="A5" s="2" t="s">
        <v>222</v>
      </c>
      <c r="B5" s="3">
        <v>3600</v>
      </c>
    </row>
    <row r="6" spans="1:6">
      <c r="A6" s="2" t="s">
        <v>163</v>
      </c>
      <c r="B6" s="3">
        <v>2500</v>
      </c>
    </row>
    <row r="7" spans="1:6">
      <c r="A7" s="2" t="s">
        <v>223</v>
      </c>
      <c r="B7" s="3">
        <v>800</v>
      </c>
    </row>
    <row r="8" spans="1:6">
      <c r="A8" s="2" t="s">
        <v>224</v>
      </c>
      <c r="B8" s="3">
        <v>0.8</v>
      </c>
    </row>
    <row r="9" spans="1:6">
      <c r="A9" s="2" t="s">
        <v>225</v>
      </c>
      <c r="B9" s="3">
        <v>0.7</v>
      </c>
    </row>
    <row r="11" spans="1:6">
      <c r="A11" s="10" t="s">
        <v>154</v>
      </c>
      <c r="B11" s="11"/>
      <c r="C11" s="11"/>
      <c r="D11" s="11"/>
      <c r="E11" s="11"/>
      <c r="F11" s="11"/>
    </row>
    <row r="12" spans="1:6">
      <c r="A12" s="2" t="s">
        <v>226</v>
      </c>
      <c r="B12" s="4" t="str">
        <f>B4-B5</f>
        <v/>
      </c>
    </row>
    <row r="13" spans="1:6">
      <c r="A13" s="2" t="s">
        <v>227</v>
      </c>
      <c r="B13" s="4" t="str">
        <f>SUM(B5:B7)</f>
        <v/>
      </c>
    </row>
    <row r="14" spans="1:6">
      <c r="A14" s="2" t="s">
        <v>196</v>
      </c>
      <c r="B14" s="4" t="str">
        <f>B13*B8</f>
        <v/>
      </c>
    </row>
    <row r="15" spans="1:6">
      <c r="A15" s="2" t="s">
        <v>200</v>
      </c>
      <c r="B15" s="4" t="str">
        <f>B13-B14</f>
        <v/>
      </c>
    </row>
    <row r="16" spans="1:6">
      <c r="A16" s="2" t="s">
        <v>128</v>
      </c>
      <c r="B16" s="4" t="str">
        <f>B14*B9</f>
        <v/>
      </c>
    </row>
    <row r="17" spans="1:2">
      <c r="A17" s="2" t="s">
        <v>197</v>
      </c>
      <c r="B17" s="4" t="str">
        <f>B14-B16</f>
        <v/>
      </c>
    </row>
  </sheetData>
  <mergeCells count="3">
    <mergeCell ref="A2:F2"/>
    <mergeCell ref="A11:F11"/>
    <mergeCell ref="A1:F1"/>
  </mergeCells>
  <pageMargins left="0.25" right="0.25" top="1" bottom="1" header="0.5" footer="0.5"/>
  <pageSetup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3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4" width="18" customWidth="1"/>
    <col min="5" max="5" width="20" customWidth="1"/>
    <col min="6" max="6" width="28" customWidth="1"/>
  </cols>
  <sheetData>
    <row r="1" spans="1:6">
      <c r="A1" s="9" t="s">
        <v>228</v>
      </c>
      <c r="B1" s="11"/>
      <c r="C1" s="11"/>
      <c r="D1" s="11"/>
      <c r="E1" s="11"/>
      <c r="F1" s="11"/>
    </row>
    <row r="2" spans="1:6" ht="36" customHeight="1">
      <c r="A2" s="8" t="s">
        <v>229</v>
      </c>
      <c r="B2" s="11"/>
      <c r="C2" s="11"/>
      <c r="D2" s="11"/>
      <c r="E2" s="11"/>
      <c r="F2" s="11"/>
    </row>
    <row r="4" spans="1:6">
      <c r="A4" s="1" t="s">
        <v>230</v>
      </c>
      <c r="B4" s="1" t="s">
        <v>231</v>
      </c>
      <c r="C4" s="1" t="s">
        <v>232</v>
      </c>
      <c r="D4" s="1" t="s">
        <v>233</v>
      </c>
      <c r="E4" s="1" t="s">
        <v>234</v>
      </c>
      <c r="F4" s="1" t="s">
        <v>235</v>
      </c>
    </row>
    <row r="5" spans="1:6">
      <c r="A5" s="2" t="s">
        <v>236</v>
      </c>
      <c r="B5" s="3">
        <v>10000</v>
      </c>
      <c r="C5" s="2" t="s">
        <v>237</v>
      </c>
    </row>
    <row r="6" spans="1:6">
      <c r="A6" s="2" t="s">
        <v>238</v>
      </c>
      <c r="B6" s="3">
        <v>5000</v>
      </c>
      <c r="C6" s="2" t="s">
        <v>239</v>
      </c>
    </row>
    <row r="7" spans="1:6">
      <c r="A7" s="2" t="s">
        <v>240</v>
      </c>
      <c r="B7" s="3">
        <v>6000</v>
      </c>
      <c r="C7" s="2" t="s">
        <v>52</v>
      </c>
    </row>
    <row r="8" spans="1:6">
      <c r="A8" s="2" t="s">
        <v>241</v>
      </c>
      <c r="B8" s="3">
        <v>9000</v>
      </c>
      <c r="C8" s="2" t="s">
        <v>242</v>
      </c>
    </row>
    <row r="9" spans="1:6">
      <c r="A9" s="2" t="s">
        <v>243</v>
      </c>
      <c r="B9" s="3">
        <v>4500</v>
      </c>
      <c r="C9" s="2" t="s">
        <v>52</v>
      </c>
    </row>
    <row r="10" spans="1:6">
      <c r="A10" s="2" t="s">
        <v>244</v>
      </c>
      <c r="B10" s="3">
        <v>1000</v>
      </c>
      <c r="C10" s="2" t="s">
        <v>245</v>
      </c>
    </row>
    <row r="11" spans="1:6">
      <c r="A11" s="2" t="s">
        <v>246</v>
      </c>
      <c r="B11" s="3">
        <v>15000</v>
      </c>
      <c r="C11" s="2" t="s">
        <v>247</v>
      </c>
    </row>
    <row r="12" spans="1:6">
      <c r="A12" s="2" t="s">
        <v>248</v>
      </c>
      <c r="B12" s="3">
        <v>1500</v>
      </c>
      <c r="C12" s="2" t="s">
        <v>133</v>
      </c>
    </row>
    <row r="14" spans="1:6">
      <c r="A14" s="10" t="s">
        <v>249</v>
      </c>
      <c r="B14" s="11"/>
      <c r="C14" s="11"/>
      <c r="D14" s="11"/>
      <c r="E14" s="11"/>
      <c r="F14" s="11"/>
    </row>
    <row r="15" spans="1:6">
      <c r="A15" s="1" t="s">
        <v>232</v>
      </c>
      <c r="B15" s="1" t="s">
        <v>233</v>
      </c>
      <c r="C15" s="1" t="s">
        <v>234</v>
      </c>
      <c r="D15" s="1" t="s">
        <v>235</v>
      </c>
      <c r="E15" s="1" t="s">
        <v>250</v>
      </c>
      <c r="F15" s="1" t="s">
        <v>231</v>
      </c>
    </row>
    <row r="16" spans="1:6">
      <c r="A16" s="2" t="s">
        <v>237</v>
      </c>
      <c r="B16" s="3">
        <v>1500</v>
      </c>
      <c r="C16" s="3">
        <v>1100</v>
      </c>
      <c r="D16" s="3">
        <v>900</v>
      </c>
      <c r="E16" s="3">
        <v>500</v>
      </c>
      <c r="F16" s="6" t="str">
        <f>SUM(B16:E16)</f>
        <v/>
      </c>
    </row>
    <row r="17" spans="1:6">
      <c r="A17" s="2" t="s">
        <v>239</v>
      </c>
      <c r="B17" s="3">
        <v>150000</v>
      </c>
      <c r="C17" s="3">
        <v>90000</v>
      </c>
      <c r="D17" s="3">
        <v>60000</v>
      </c>
      <c r="E17" s="3">
        <v>0</v>
      </c>
      <c r="F17" s="6" t="str">
        <f>SUM(B17:E17)</f>
        <v/>
      </c>
    </row>
    <row r="18" spans="1:6">
      <c r="A18" s="2" t="s">
        <v>52</v>
      </c>
      <c r="B18" s="3">
        <v>240000</v>
      </c>
      <c r="C18" s="3">
        <v>180000</v>
      </c>
      <c r="D18" s="3">
        <v>120000</v>
      </c>
      <c r="E18" s="3">
        <v>60000</v>
      </c>
      <c r="F18" s="6" t="str">
        <f>SUM(B18:E18)</f>
        <v/>
      </c>
    </row>
    <row r="19" spans="1:6">
      <c r="A19" s="2" t="s">
        <v>242</v>
      </c>
      <c r="B19" s="3">
        <v>800</v>
      </c>
      <c r="C19" s="3">
        <v>500</v>
      </c>
      <c r="D19" s="3">
        <v>200</v>
      </c>
      <c r="E19" s="3">
        <v>0</v>
      </c>
      <c r="F19" s="6" t="str">
        <f>SUM(B19:E19)</f>
        <v/>
      </c>
    </row>
    <row r="20" spans="1:6">
      <c r="A20" s="2" t="s">
        <v>245</v>
      </c>
      <c r="B20" s="3">
        <v>40</v>
      </c>
      <c r="C20" s="3">
        <v>30</v>
      </c>
      <c r="D20" s="3">
        <v>20</v>
      </c>
      <c r="E20" s="3">
        <v>10</v>
      </c>
      <c r="F20" s="6" t="str">
        <f>SUM(B20:E20)</f>
        <v/>
      </c>
    </row>
    <row r="21" spans="1:6">
      <c r="A21" s="2" t="s">
        <v>247</v>
      </c>
      <c r="B21" s="3">
        <v>20</v>
      </c>
      <c r="C21" s="3">
        <v>15</v>
      </c>
      <c r="D21" s="3">
        <v>10</v>
      </c>
      <c r="E21" s="3">
        <v>15</v>
      </c>
      <c r="F21" s="6" t="str">
        <f>SUM(B21:E21)</f>
        <v/>
      </c>
    </row>
    <row r="22" spans="1:6">
      <c r="A22" s="2" t="s">
        <v>133</v>
      </c>
      <c r="B22" s="3">
        <v>60000</v>
      </c>
      <c r="C22" s="3">
        <v>40000</v>
      </c>
      <c r="D22" s="3">
        <v>30000</v>
      </c>
      <c r="E22" s="3">
        <v>20000</v>
      </c>
      <c r="F22" s="6" t="str">
        <f>SUM(B22:E22)</f>
        <v/>
      </c>
    </row>
    <row r="24" spans="1:6">
      <c r="A24" s="10" t="s">
        <v>251</v>
      </c>
      <c r="B24" s="11"/>
      <c r="C24" s="11"/>
      <c r="D24" s="11"/>
      <c r="E24" s="11"/>
      <c r="F24" s="11"/>
    </row>
    <row r="25" spans="1:6">
      <c r="A25" s="1" t="s">
        <v>230</v>
      </c>
      <c r="B25" s="1" t="s">
        <v>233</v>
      </c>
      <c r="C25" s="1" t="s">
        <v>234</v>
      </c>
      <c r="D25" s="1" t="s">
        <v>235</v>
      </c>
      <c r="E25" s="1" t="s">
        <v>250</v>
      </c>
      <c r="F25" s="1" t="s">
        <v>252</v>
      </c>
    </row>
    <row r="26" spans="1:6">
      <c r="A26" s="2" t="s">
        <v>236</v>
      </c>
      <c r="B26" s="4" t="str">
        <f>$B$5*B16/$F$16</f>
        <v/>
      </c>
      <c r="C26" s="4" t="str">
        <f>$B$5*C16/$F$16</f>
        <v/>
      </c>
      <c r="D26" s="4" t="str">
        <f>$B$5*D16/$F$16</f>
        <v/>
      </c>
      <c r="E26" s="4" t="str">
        <f>$B$5*E16/$F$16</f>
        <v/>
      </c>
      <c r="F26" s="6" t="str">
        <f>SUM(B26:E26)</f>
        <v/>
      </c>
    </row>
    <row r="27" spans="1:6">
      <c r="A27" s="2" t="s">
        <v>238</v>
      </c>
      <c r="B27" s="4" t="str">
        <f>$B$6*B17/$F$17</f>
        <v/>
      </c>
      <c r="C27" s="4" t="str">
        <f>$B$6*C17/$F$17</f>
        <v/>
      </c>
      <c r="D27" s="4" t="str">
        <f>$B$6*D17/$F$17</f>
        <v/>
      </c>
      <c r="E27" s="4" t="str">
        <f>$B$6*E17/$F$17</f>
        <v/>
      </c>
      <c r="F27" s="6" t="str">
        <f>SUM(B27:E27)</f>
        <v/>
      </c>
    </row>
    <row r="28" spans="1:6">
      <c r="A28" s="2" t="s">
        <v>240</v>
      </c>
      <c r="B28" s="4" t="str">
        <f>$B$7*B18/$F$18</f>
        <v/>
      </c>
      <c r="C28" s="4" t="str">
        <f>$B$7*C18/$F$18</f>
        <v/>
      </c>
      <c r="D28" s="4" t="str">
        <f>$B$7*D18/$F$18</f>
        <v/>
      </c>
      <c r="E28" s="4" t="str">
        <f>$B$7*E18/$F$18</f>
        <v/>
      </c>
      <c r="F28" s="6" t="str">
        <f>SUM(B28:E28)</f>
        <v/>
      </c>
    </row>
    <row r="29" spans="1:6">
      <c r="A29" s="2" t="s">
        <v>241</v>
      </c>
      <c r="B29" s="4" t="str">
        <f>$B$8*B19/$F$19</f>
        <v/>
      </c>
      <c r="C29" s="4" t="str">
        <f>$B$8*C19/$F$19</f>
        <v/>
      </c>
      <c r="D29" s="4" t="str">
        <f>$B$8*D19/$F$19</f>
        <v/>
      </c>
      <c r="E29" s="4" t="str">
        <f>$B$8*E19/$F$19</f>
        <v/>
      </c>
      <c r="F29" s="6" t="str">
        <f>SUM(B29:E29)</f>
        <v/>
      </c>
    </row>
    <row r="30" spans="1:6">
      <c r="A30" s="2" t="s">
        <v>243</v>
      </c>
      <c r="B30" s="4" t="str">
        <f>$B$9*B18/$F$18</f>
        <v/>
      </c>
      <c r="C30" s="4" t="str">
        <f>$B$9*C18/$F$18</f>
        <v/>
      </c>
      <c r="D30" s="4" t="str">
        <f>$B$9*D18/$F$18</f>
        <v/>
      </c>
      <c r="E30" s="4" t="str">
        <f>$B$9*E18/$F$18</f>
        <v/>
      </c>
      <c r="F30" s="6" t="str">
        <f>SUM(B30:E30)</f>
        <v/>
      </c>
    </row>
    <row r="31" spans="1:6">
      <c r="A31" s="2" t="s">
        <v>244</v>
      </c>
      <c r="B31" s="4" t="str">
        <f>$B$10*B20/$F$20</f>
        <v/>
      </c>
      <c r="C31" s="4" t="str">
        <f>$B$10*C20/$F$20</f>
        <v/>
      </c>
      <c r="D31" s="4" t="str">
        <f>$B$10*D20/$F$20</f>
        <v/>
      </c>
      <c r="E31" s="4" t="str">
        <f>$B$10*E20/$F$20</f>
        <v/>
      </c>
      <c r="F31" s="6" t="str">
        <f>SUM(B31:E31)</f>
        <v/>
      </c>
    </row>
    <row r="32" spans="1:6">
      <c r="A32" s="2" t="s">
        <v>246</v>
      </c>
      <c r="B32" s="4" t="str">
        <f>$B$11*B21/$F$21</f>
        <v/>
      </c>
      <c r="C32" s="4" t="str">
        <f>$B$11*C21/$F$21</f>
        <v/>
      </c>
      <c r="D32" s="4" t="str">
        <f>$B$11*D21/$F$21</f>
        <v/>
      </c>
      <c r="E32" s="4" t="str">
        <f>$B$11*E21/$F$21</f>
        <v/>
      </c>
      <c r="F32" s="6" t="str">
        <f>SUM(B32:E32)</f>
        <v/>
      </c>
    </row>
    <row r="33" spans="1:6">
      <c r="A33" s="2" t="s">
        <v>248</v>
      </c>
      <c r="B33" s="4" t="str">
        <f>$B$12*B22/$F$22</f>
        <v/>
      </c>
      <c r="C33" s="4" t="str">
        <f>$B$12*C22/$F$22</f>
        <v/>
      </c>
      <c r="D33" s="4" t="str">
        <f>$B$12*D22/$F$22</f>
        <v/>
      </c>
      <c r="E33" s="4" t="str">
        <f>$B$12*E22/$F$22</f>
        <v/>
      </c>
      <c r="F33" s="6" t="str">
        <f>SUM(B33:E33)</f>
        <v/>
      </c>
    </row>
    <row r="34" spans="1:6">
      <c r="A34" s="2" t="s">
        <v>253</v>
      </c>
      <c r="B34" s="4" t="str">
        <f>SUM(B26:B33)</f>
        <v/>
      </c>
      <c r="C34" s="4" t="str">
        <f>SUM(C26:C33)</f>
        <v/>
      </c>
      <c r="D34" s="4" t="str">
        <f>SUM(D26:D33)</f>
        <v/>
      </c>
      <c r="E34" s="4" t="str">
        <f>SUM(E26:E33)</f>
        <v/>
      </c>
      <c r="F34" s="6" t="str">
        <f>SUM(B34:E34)</f>
        <v/>
      </c>
    </row>
  </sheetData>
  <mergeCells count="4">
    <mergeCell ref="A24:F24"/>
    <mergeCell ref="A2:F2"/>
    <mergeCell ref="A14:F14"/>
    <mergeCell ref="A1:F1"/>
  </mergeCells>
  <pageMargins left="0.25" right="0.25" top="1" bottom="1" header="0.5" footer="0.5"/>
  <pageSetup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2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4" width="18" customWidth="1"/>
    <col min="5" max="5" width="20" customWidth="1"/>
    <col min="6" max="6" width="28" customWidth="1"/>
  </cols>
  <sheetData>
    <row r="1" spans="1:6">
      <c r="A1" s="9" t="s">
        <v>254</v>
      </c>
      <c r="B1" s="11"/>
      <c r="C1" s="11"/>
      <c r="D1" s="11"/>
      <c r="E1" s="11"/>
      <c r="F1" s="11"/>
    </row>
    <row r="2" spans="1:6" ht="36" customHeight="1">
      <c r="A2" s="8" t="s">
        <v>255</v>
      </c>
      <c r="B2" s="11"/>
      <c r="C2" s="11"/>
      <c r="D2" s="11"/>
      <c r="E2" s="11"/>
      <c r="F2" s="11"/>
    </row>
    <row r="4" spans="1:6">
      <c r="A4" s="1" t="s">
        <v>256</v>
      </c>
      <c r="B4" s="1" t="s">
        <v>257</v>
      </c>
      <c r="C4" s="1" t="s">
        <v>258</v>
      </c>
      <c r="D4" s="1" t="s">
        <v>259</v>
      </c>
      <c r="E4" s="1" t="s">
        <v>260</v>
      </c>
      <c r="F4" s="1" t="s">
        <v>261</v>
      </c>
    </row>
    <row r="5" spans="1:6">
      <c r="A5" s="2" t="s">
        <v>233</v>
      </c>
      <c r="B5" s="3">
        <v>15000</v>
      </c>
      <c r="C5" s="3">
        <v>2500</v>
      </c>
      <c r="D5" s="3">
        <v>20</v>
      </c>
      <c r="E5" s="3">
        <v>300</v>
      </c>
      <c r="F5" s="6" t="str">
        <f>B5+SUM(B17:B20)</f>
        <v/>
      </c>
    </row>
    <row r="6" spans="1:6">
      <c r="A6" s="2" t="s">
        <v>234</v>
      </c>
      <c r="B6" s="3">
        <v>13000</v>
      </c>
      <c r="C6" s="3">
        <v>1500</v>
      </c>
      <c r="D6" s="3">
        <v>15</v>
      </c>
      <c r="E6" s="3">
        <v>300</v>
      </c>
      <c r="F6" s="6" t="str">
        <f>B6+SUM(C17:C20)</f>
        <v/>
      </c>
    </row>
    <row r="7" spans="1:6">
      <c r="A7" s="2" t="s">
        <v>235</v>
      </c>
      <c r="B7" s="3">
        <v>12000</v>
      </c>
      <c r="C7" s="3">
        <v>1000</v>
      </c>
      <c r="D7" s="3">
        <v>15</v>
      </c>
      <c r="E7" s="3">
        <v>200</v>
      </c>
      <c r="F7" s="6" t="str">
        <f>B7+SUM(D17:D20)</f>
        <v/>
      </c>
    </row>
    <row r="9" spans="1:6">
      <c r="A9" s="10" t="s">
        <v>262</v>
      </c>
      <c r="B9" s="11"/>
      <c r="C9" s="11"/>
      <c r="D9" s="11"/>
      <c r="E9" s="11"/>
      <c r="F9" s="11"/>
    </row>
    <row r="10" spans="1:6">
      <c r="A10" s="2" t="s">
        <v>263</v>
      </c>
      <c r="B10" s="3">
        <v>2000</v>
      </c>
    </row>
    <row r="11" spans="1:6">
      <c r="A11" s="2" t="s">
        <v>264</v>
      </c>
      <c r="B11" s="3">
        <v>1500</v>
      </c>
    </row>
    <row r="12" spans="1:6">
      <c r="A12" s="2" t="s">
        <v>241</v>
      </c>
      <c r="B12" s="3">
        <v>800</v>
      </c>
    </row>
    <row r="13" spans="1:6">
      <c r="A13" s="2" t="s">
        <v>265</v>
      </c>
      <c r="B13" s="3">
        <v>500</v>
      </c>
    </row>
    <row r="15" spans="1:6">
      <c r="A15" s="10" t="s">
        <v>266</v>
      </c>
      <c r="B15" s="11"/>
      <c r="C15" s="11"/>
      <c r="D15" s="11"/>
      <c r="E15" s="11"/>
      <c r="F15" s="11"/>
    </row>
    <row r="16" spans="1:6">
      <c r="A16" s="1" t="s">
        <v>267</v>
      </c>
      <c r="B16" s="1" t="s">
        <v>233</v>
      </c>
      <c r="C16" s="1" t="s">
        <v>234</v>
      </c>
      <c r="D16" s="1" t="s">
        <v>235</v>
      </c>
      <c r="E16" s="1" t="s">
        <v>231</v>
      </c>
      <c r="F16" s="1"/>
    </row>
    <row r="17" spans="1:5">
      <c r="A17" s="2" t="s">
        <v>263</v>
      </c>
      <c r="B17" s="4" t="str">
        <f>$B$10*C5/($C$5+$C$6+$C$7)</f>
        <v/>
      </c>
      <c r="C17" s="4" t="str">
        <f>$B$10*C6/($C$5+$C$6+$C$7)</f>
        <v/>
      </c>
      <c r="D17" s="4" t="str">
        <f>$B$10*C7/($C$5+$C$6+$C$7)</f>
        <v/>
      </c>
      <c r="E17" s="4" t="str">
        <f>SUM(B17:D17)</f>
        <v/>
      </c>
    </row>
    <row r="18" spans="1:5">
      <c r="A18" s="2" t="s">
        <v>264</v>
      </c>
      <c r="B18" s="4" t="str">
        <f>$B$11*D5/($D$5+$D$6+$D$7)</f>
        <v/>
      </c>
      <c r="C18" s="4" t="str">
        <f>$B$11*D6/($D$5+$D$6+$D$7)</f>
        <v/>
      </c>
      <c r="D18" s="4" t="str">
        <f>$B$11*D7/($D$5+$D$6+$D$7)</f>
        <v/>
      </c>
      <c r="E18" s="4" t="str">
        <f>SUM(B18:D18)</f>
        <v/>
      </c>
    </row>
    <row r="19" spans="1:5">
      <c r="A19" s="2" t="s">
        <v>241</v>
      </c>
      <c r="B19" s="4" t="str">
        <f>$B$12*E5/($E$5+$E$6+$E$7)</f>
        <v/>
      </c>
      <c r="C19" s="4" t="str">
        <f>$B$12*E6/($E$5+$E$6+$E$7)</f>
        <v/>
      </c>
      <c r="D19" s="4" t="str">
        <f>$B$12*E7/($E$5+$E$6+$E$7)</f>
        <v/>
      </c>
      <c r="E19" s="4" t="str">
        <f>SUM(B19:D19)</f>
        <v/>
      </c>
    </row>
    <row r="20" spans="1:5">
      <c r="A20" s="2" t="s">
        <v>265</v>
      </c>
      <c r="B20" s="4" t="str">
        <f>$B$13*D5/($D$5+$D$6+$D$7)</f>
        <v/>
      </c>
      <c r="C20" s="4" t="str">
        <f>$B$13*D6/($D$5+$D$6+$D$7)</f>
        <v/>
      </c>
      <c r="D20" s="4" t="str">
        <f>$B$13*D7/($D$5+$D$6+$D$7)</f>
        <v/>
      </c>
      <c r="E20" s="4" t="str">
        <f>SUM(B20:D20)</f>
        <v/>
      </c>
    </row>
  </sheetData>
  <mergeCells count="4">
    <mergeCell ref="A2:F2"/>
    <mergeCell ref="A1:F1"/>
    <mergeCell ref="A9:F9"/>
    <mergeCell ref="A15:F15"/>
  </mergeCells>
  <pageMargins left="0.25" right="0.25" top="1" bottom="1" header="0.5" footer="0.5"/>
  <pageSetup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3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4" width="18" customWidth="1"/>
    <col min="5" max="5" width="20" customWidth="1"/>
    <col min="6" max="6" width="28" customWidth="1"/>
  </cols>
  <sheetData>
    <row r="1" spans="1:6">
      <c r="A1" s="9" t="s">
        <v>268</v>
      </c>
      <c r="B1" s="11"/>
      <c r="C1" s="11"/>
      <c r="D1" s="11"/>
      <c r="E1" s="11"/>
      <c r="F1" s="11"/>
    </row>
    <row r="2" spans="1:6" ht="36" customHeight="1">
      <c r="A2" s="8" t="s">
        <v>269</v>
      </c>
      <c r="B2" s="11"/>
      <c r="C2" s="11"/>
      <c r="D2" s="11"/>
      <c r="E2" s="11"/>
      <c r="F2" s="11"/>
    </row>
    <row r="4" spans="1:6">
      <c r="A4" s="2" t="s">
        <v>270</v>
      </c>
      <c r="B4" s="3">
        <v>12000</v>
      </c>
    </row>
    <row r="5" spans="1:6">
      <c r="A5" s="2" t="s">
        <v>271</v>
      </c>
      <c r="B5" s="3">
        <v>8000</v>
      </c>
    </row>
    <row r="6" spans="1:6">
      <c r="A6" s="2" t="s">
        <v>272</v>
      </c>
      <c r="B6" s="3">
        <v>2500</v>
      </c>
    </row>
    <row r="7" spans="1:6">
      <c r="A7" s="2" t="s">
        <v>273</v>
      </c>
      <c r="B7" s="3">
        <v>2000</v>
      </c>
    </row>
    <row r="8" spans="1:6">
      <c r="A8" s="2" t="s">
        <v>274</v>
      </c>
      <c r="B8" s="3">
        <v>1500</v>
      </c>
    </row>
    <row r="10" spans="1:6">
      <c r="A10" s="10" t="s">
        <v>275</v>
      </c>
      <c r="B10" s="11"/>
      <c r="C10" s="11"/>
      <c r="D10" s="11"/>
      <c r="E10" s="11"/>
      <c r="F10" s="11"/>
    </row>
    <row r="11" spans="1:6">
      <c r="A11" s="2" t="s">
        <v>276</v>
      </c>
      <c r="B11" s="2" t="s">
        <v>277</v>
      </c>
      <c r="C11" s="2" t="s">
        <v>263</v>
      </c>
      <c r="D11" s="2" t="s">
        <v>278</v>
      </c>
    </row>
    <row r="12" spans="1:6">
      <c r="A12" s="7">
        <v>20</v>
      </c>
      <c r="B12" s="3">
        <v>15</v>
      </c>
      <c r="C12" s="3">
        <v>10</v>
      </c>
      <c r="D12" s="3">
        <v>5</v>
      </c>
    </row>
    <row r="13" spans="1:6">
      <c r="A13" s="6" t="str">
        <f>$B$7*A12/SUM($A$12:$D$12)</f>
        <v/>
      </c>
      <c r="B13" s="4" t="str">
        <f>$B$7*B12/SUM($A$12:$D$12)</f>
        <v/>
      </c>
      <c r="C13" s="4" t="str">
        <f>$B$7*C12/SUM($A$12:$D$12)</f>
        <v/>
      </c>
      <c r="D13" s="4" t="str">
        <f>$B$7*D12/SUM($A$12:$D$12)</f>
        <v/>
      </c>
    </row>
    <row r="15" spans="1:6">
      <c r="A15" s="10" t="s">
        <v>279</v>
      </c>
      <c r="B15" s="11"/>
      <c r="C15" s="11"/>
      <c r="D15" s="11"/>
      <c r="E15" s="11"/>
      <c r="F15" s="11"/>
    </row>
    <row r="16" spans="1:6">
      <c r="A16" s="2" t="s">
        <v>280</v>
      </c>
      <c r="B16" s="4" t="str">
        <f>B6+C13</f>
        <v/>
      </c>
    </row>
    <row r="17" spans="1:6">
      <c r="A17" s="2" t="s">
        <v>276</v>
      </c>
      <c r="B17" s="2" t="s">
        <v>277</v>
      </c>
      <c r="C17" s="2" t="s">
        <v>278</v>
      </c>
    </row>
    <row r="18" spans="1:6">
      <c r="A18" s="7">
        <v>12</v>
      </c>
      <c r="B18" s="3">
        <v>10</v>
      </c>
      <c r="C18" s="3">
        <v>3</v>
      </c>
    </row>
    <row r="19" spans="1:6">
      <c r="A19" s="6" t="str">
        <f>$B$16*A18/SUM($A$18:$C$18)</f>
        <v/>
      </c>
      <c r="B19" s="4" t="str">
        <f>$B$16*B18/SUM($A$18:$C$18)</f>
        <v/>
      </c>
      <c r="C19" s="4" t="str">
        <f>$B$16*C18/SUM($A$18:$C$18)</f>
        <v/>
      </c>
    </row>
    <row r="21" spans="1:6">
      <c r="A21" s="10" t="s">
        <v>281</v>
      </c>
      <c r="B21" s="11"/>
      <c r="C21" s="11"/>
      <c r="D21" s="11"/>
      <c r="E21" s="11"/>
      <c r="F21" s="11"/>
    </row>
    <row r="22" spans="1:6">
      <c r="A22" s="2" t="s">
        <v>282</v>
      </c>
      <c r="B22" s="4" t="str">
        <f>B8+D13+C19</f>
        <v/>
      </c>
    </row>
    <row r="23" spans="1:6">
      <c r="A23" s="2" t="s">
        <v>276</v>
      </c>
      <c r="B23" s="2" t="s">
        <v>277</v>
      </c>
    </row>
    <row r="24" spans="1:6">
      <c r="A24" s="7">
        <v>1200</v>
      </c>
      <c r="B24" s="3">
        <v>800</v>
      </c>
    </row>
    <row r="25" spans="1:6">
      <c r="A25" s="6" t="str">
        <f>$B$22*A24/SUM($A$24:$B$24)</f>
        <v/>
      </c>
      <c r="B25" s="4" t="str">
        <f>$B$22*B24/SUM($A$24:$B$24)</f>
        <v/>
      </c>
    </row>
    <row r="27" spans="1:6">
      <c r="A27" s="10" t="s">
        <v>283</v>
      </c>
      <c r="B27" s="11"/>
      <c r="C27" s="11"/>
      <c r="D27" s="11"/>
      <c r="E27" s="11"/>
      <c r="F27" s="11"/>
    </row>
    <row r="28" spans="1:6">
      <c r="A28" s="2" t="s">
        <v>284</v>
      </c>
      <c r="B28" s="4" t="str">
        <f>B4+A13+A19+A25</f>
        <v/>
      </c>
    </row>
    <row r="29" spans="1:6">
      <c r="A29" s="2" t="s">
        <v>285</v>
      </c>
      <c r="B29" s="4" t="str">
        <f>B5+B13+B19+B25</f>
        <v/>
      </c>
    </row>
    <row r="30" spans="1:6">
      <c r="A30" s="2" t="s">
        <v>252</v>
      </c>
      <c r="B30" s="4" t="str">
        <f>SUM(B28:B29)</f>
        <v/>
      </c>
    </row>
  </sheetData>
  <mergeCells count="6">
    <mergeCell ref="A2:F2"/>
    <mergeCell ref="A10:F10"/>
    <mergeCell ref="A1:F1"/>
    <mergeCell ref="A27:F27"/>
    <mergeCell ref="A21:F21"/>
    <mergeCell ref="A15:F15"/>
  </mergeCells>
  <pageMargins left="0.25" right="0.25" top="1" bottom="1" header="0.5" footer="0.5"/>
  <pageSetup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4" width="18" customWidth="1"/>
    <col min="5" max="5" width="20" customWidth="1"/>
    <col min="6" max="6" width="28" customWidth="1"/>
  </cols>
  <sheetData>
    <row r="1" spans="1:6">
      <c r="A1" s="9" t="s">
        <v>286</v>
      </c>
      <c r="B1" s="11"/>
      <c r="C1" s="11"/>
      <c r="D1" s="11"/>
      <c r="E1" s="11"/>
      <c r="F1" s="11"/>
    </row>
    <row r="2" spans="1:6" ht="36" customHeight="1">
      <c r="A2" s="8" t="s">
        <v>287</v>
      </c>
      <c r="B2" s="11"/>
      <c r="C2" s="11"/>
      <c r="D2" s="11"/>
      <c r="E2" s="11"/>
      <c r="F2" s="11"/>
    </row>
    <row r="4" spans="1:6">
      <c r="A4" s="2" t="s">
        <v>288</v>
      </c>
      <c r="B4" s="3">
        <v>8000</v>
      </c>
    </row>
    <row r="5" spans="1:6">
      <c r="A5" s="2" t="s">
        <v>289</v>
      </c>
      <c r="B5" s="3">
        <v>6500</v>
      </c>
    </row>
    <row r="6" spans="1:6">
      <c r="A6" s="2" t="s">
        <v>290</v>
      </c>
      <c r="B6" s="3">
        <v>7000</v>
      </c>
    </row>
    <row r="7" spans="1:6">
      <c r="A7" s="2" t="s">
        <v>291</v>
      </c>
      <c r="B7" s="3">
        <v>2340</v>
      </c>
    </row>
    <row r="8" spans="1:6">
      <c r="A8" s="2" t="s">
        <v>292</v>
      </c>
      <c r="B8" s="3">
        <v>3000</v>
      </c>
    </row>
    <row r="10" spans="1:6">
      <c r="A10" s="10" t="s">
        <v>293</v>
      </c>
      <c r="B10" s="11"/>
      <c r="C10" s="11"/>
      <c r="D10" s="11"/>
      <c r="E10" s="11"/>
      <c r="F10" s="11"/>
    </row>
    <row r="11" spans="1:6">
      <c r="A11" s="2" t="s">
        <v>294</v>
      </c>
      <c r="B11" s="4" t="str">
        <f>(B7+10%*B8)/(1-10%*20%)</f>
        <v/>
      </c>
    </row>
    <row r="12" spans="1:6">
      <c r="A12" s="2" t="s">
        <v>295</v>
      </c>
      <c r="B12" s="4" t="str">
        <f>B8+20%*B11</f>
        <v/>
      </c>
    </row>
    <row r="14" spans="1:6">
      <c r="A14" s="10" t="s">
        <v>283</v>
      </c>
      <c r="B14" s="11"/>
      <c r="C14" s="11"/>
      <c r="D14" s="11"/>
      <c r="E14" s="11"/>
      <c r="F14" s="11"/>
    </row>
    <row r="15" spans="1:6">
      <c r="A15" s="1" t="s">
        <v>256</v>
      </c>
      <c r="B15" s="1" t="s">
        <v>296</v>
      </c>
      <c r="C15" s="1" t="s">
        <v>297</v>
      </c>
      <c r="D15" s="1" t="s">
        <v>298</v>
      </c>
      <c r="E15" s="1" t="s">
        <v>299</v>
      </c>
      <c r="F15" s="1"/>
    </row>
    <row r="16" spans="1:6">
      <c r="A16" s="2" t="s">
        <v>233</v>
      </c>
      <c r="B16" s="4" t="str">
        <f>B4</f>
        <v/>
      </c>
      <c r="C16" s="3">
        <v>0.2</v>
      </c>
      <c r="D16" s="3">
        <v>0.25</v>
      </c>
      <c r="E16" s="4" t="str">
        <f>B16+$B$11*C16+$B$12*D16</f>
        <v/>
      </c>
    </row>
    <row r="17" spans="1:5">
      <c r="A17" s="2" t="s">
        <v>234</v>
      </c>
      <c r="B17" s="4" t="str">
        <f>B5</f>
        <v/>
      </c>
      <c r="C17" s="3">
        <v>0.25</v>
      </c>
      <c r="D17" s="3">
        <v>0.25</v>
      </c>
      <c r="E17" s="4" t="str">
        <f>B17+$B$11*C17+$B$12*D17</f>
        <v/>
      </c>
    </row>
    <row r="18" spans="1:5">
      <c r="A18" s="2" t="s">
        <v>235</v>
      </c>
      <c r="B18" s="4" t="str">
        <f>B6</f>
        <v/>
      </c>
      <c r="C18" s="3">
        <v>0.35</v>
      </c>
      <c r="D18" s="3">
        <v>0.4</v>
      </c>
      <c r="E18" s="4" t="str">
        <f>B18+$B$11*C18+$B$12*D18</f>
        <v/>
      </c>
    </row>
    <row r="20" spans="1:5">
      <c r="A20" s="2" t="s">
        <v>231</v>
      </c>
      <c r="E20" s="4" t="str">
        <f>SUM(E16:E18)</f>
        <v/>
      </c>
    </row>
  </sheetData>
  <mergeCells count="4">
    <mergeCell ref="A2:F2"/>
    <mergeCell ref="A14:F14"/>
    <mergeCell ref="A1:F1"/>
    <mergeCell ref="A10:F10"/>
  </mergeCells>
  <pageMargins left="0.25" right="0.2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Kore, Rupali</dc:creator>
  <cp:keywords/>
  <dc:description/>
  <cp:lastModifiedBy>Kore, Rupali</cp:lastModifiedBy>
  <cp:revision/>
  <dcterms:created xsi:type="dcterms:W3CDTF">2026-10-26T16:07:59Z</dcterms:created>
  <dcterms:modified xsi:type="dcterms:W3CDTF">2026-10-26T16:11:39Z</dcterms:modified>
  <cp:category/>
  <cp:contentStatus/>
</cp:coreProperties>
</file>